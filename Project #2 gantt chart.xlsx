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mc:AlternateContent xmlns:mc="http://schemas.openxmlformats.org/markup-compatibility/2006">
    <mc:Choice Requires="x15">
      <x15ac:absPath xmlns:x15ac="http://schemas.microsoft.com/office/spreadsheetml/2010/11/ac" url="https://d.docs.live.net/1d85785a5b11ee66/Documents/"/>
    </mc:Choice>
  </mc:AlternateContent>
  <xr:revisionPtr revIDLastSave="0" documentId="8_{131ACC8C-30C3-4074-8934-51AB0E59BD9B}" xr6:coauthVersionLast="47" xr6:coauthVersionMax="47" xr10:uidLastSave="{00000000-0000-0000-0000-000000000000}"/>
  <bookViews>
    <workbookView xWindow="-120" yWindow="-120" windowWidth="29040" windowHeight="15720" xr2:uid="{00000000-000D-0000-FFFF-FFFF00000000}"/>
  </bookViews>
  <sheets>
    <sheet name="Project schedule" sheetId="11" r:id="rId1"/>
    <sheet name="About" sheetId="12" r:id="rId2"/>
  </sheets>
  <definedNames>
    <definedName name="Display_Week">'Project schedule'!$P$2</definedName>
    <definedName name="_xlnm.Print_Titles" localSheetId="0">'Project schedule'!$4:$6</definedName>
    <definedName name="Project_Start">'Project schedule'!$P$1</definedName>
    <definedName name="task_end" localSheetId="0">'Project schedule'!$E1</definedName>
    <definedName name="task_progress" localSheetId="0">'Project schedule'!#REF!</definedName>
    <definedName name="task_start" localSheetId="0">'Project schedule'!$D1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1" l="1"/>
  <c r="P1" i="11" l="1"/>
  <c r="D9" i="11" l="1"/>
  <c r="H5" i="11"/>
  <c r="H4" i="11" s="1"/>
  <c r="G38" i="11"/>
  <c r="G37" i="11"/>
  <c r="G31" i="11"/>
  <c r="G25" i="11"/>
  <c r="G11" i="11"/>
  <c r="G8" i="11"/>
  <c r="G36" i="11" l="1"/>
  <c r="G9" i="11"/>
  <c r="H6" i="11"/>
  <c r="G27" i="11" l="1"/>
  <c r="G26" i="11"/>
  <c r="G35" i="11"/>
  <c r="G32" i="11"/>
  <c r="G10" i="11"/>
  <c r="G28" i="11"/>
  <c r="G12" i="11"/>
  <c r="I5" i="11"/>
  <c r="J5" i="11" s="1"/>
  <c r="K5" i="11" s="1"/>
  <c r="L5" i="11" s="1"/>
  <c r="M5" i="11" s="1"/>
  <c r="N5" i="11" s="1"/>
  <c r="O5" i="11" s="1"/>
  <c r="G33" i="11" l="1"/>
  <c r="G34" i="11"/>
  <c r="G29" i="11"/>
  <c r="G15" i="11"/>
  <c r="O4" i="11"/>
  <c r="P5" i="11"/>
  <c r="Q5" i="11" s="1"/>
  <c r="R5" i="11" s="1"/>
  <c r="S5" i="11" s="1"/>
  <c r="T5" i="11" s="1"/>
  <c r="U5" i="11" s="1"/>
  <c r="V5" i="11" s="1"/>
  <c r="I6" i="11"/>
  <c r="E24" i="11" l="1"/>
  <c r="G24" i="11" s="1"/>
  <c r="V4" i="11"/>
  <c r="W5" i="11"/>
  <c r="X5" i="11" s="1"/>
  <c r="Y5" i="11" s="1"/>
  <c r="Z5" i="11" s="1"/>
  <c r="AA5" i="11" s="1"/>
  <c r="AB5" i="11" s="1"/>
  <c r="AC5" i="11" s="1"/>
  <c r="J6" i="11"/>
  <c r="AD5" i="11" l="1"/>
  <c r="AE5" i="11" s="1"/>
  <c r="AF5" i="11" s="1"/>
  <c r="AG5" i="11" s="1"/>
  <c r="AH5" i="11" s="1"/>
  <c r="AI5" i="11" s="1"/>
  <c r="AC4" i="11"/>
  <c r="K6" i="11"/>
  <c r="AJ5" i="11" l="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J6" i="11"/>
  <c r="AE6" i="11"/>
  <c r="BK6" i="11" l="1"/>
  <c r="AF6" i="11"/>
  <c r="AG6" i="11" l="1"/>
  <c r="AH6" i="11" l="1"/>
  <c r="AI6" i="11" l="1"/>
  <c r="AJ6" i="11" l="1"/>
  <c r="AK6" i="11" l="1"/>
  <c r="AL6" i="11" l="1"/>
  <c r="AM6" i="11" l="1"/>
  <c r="AN6" i="11" l="1"/>
  <c r="AO6" i="11" l="1"/>
  <c r="AP6" i="11" l="1"/>
  <c r="AQ6" i="11" l="1"/>
</calcChain>
</file>

<file path=xl/sharedStrings.xml><?xml version="1.0" encoding="utf-8"?>
<sst xmlns="http://schemas.openxmlformats.org/spreadsheetml/2006/main" count="66" uniqueCount="50">
  <si>
    <t>Project #2</t>
  </si>
  <si>
    <t>Project start:</t>
  </si>
  <si>
    <t>Group J</t>
  </si>
  <si>
    <t>Display week:</t>
  </si>
  <si>
    <t>SIMPLE GANTT CHART by Vertex42.com</t>
  </si>
  <si>
    <t>https://www.vertex42.com/ExcelTemplates/simple-gantt-chart.html</t>
  </si>
  <si>
    <t>TASK</t>
  </si>
  <si>
    <t>ASSIGNED TO</t>
  </si>
  <si>
    <t>START</t>
  </si>
  <si>
    <t>END</t>
  </si>
  <si>
    <t xml:space="preserve">Do not delete this row. This row is hidden to preserve a formula that is used to highlight the current day within the project schedule. </t>
  </si>
  <si>
    <t>Project Management</t>
  </si>
  <si>
    <t>Gantt chart</t>
  </si>
  <si>
    <t>David Ames</t>
  </si>
  <si>
    <t>SOW</t>
  </si>
  <si>
    <t>Harrison Drake</t>
  </si>
  <si>
    <t>Technical Implementation</t>
  </si>
  <si>
    <t>Mix Scenarios Research</t>
  </si>
  <si>
    <t>Logan Baardson</t>
  </si>
  <si>
    <t>Mix Documentation</t>
  </si>
  <si>
    <t>Python Code</t>
  </si>
  <si>
    <t>Cement Vol</t>
  </si>
  <si>
    <t>Fly Ash Vol</t>
  </si>
  <si>
    <t>Silica Fume Vol</t>
  </si>
  <si>
    <t>Other SCM Vol</t>
  </si>
  <si>
    <t>Air Vol</t>
  </si>
  <si>
    <t>Water Vol</t>
  </si>
  <si>
    <t>Total Agggregate Vol</t>
  </si>
  <si>
    <t>Fine Aggregate Weight</t>
  </si>
  <si>
    <t>Other Aggergate Weight</t>
  </si>
  <si>
    <t>Annotated Code Document</t>
  </si>
  <si>
    <t>Written Report</t>
  </si>
  <si>
    <t>Introduction</t>
  </si>
  <si>
    <t>Methods</t>
  </si>
  <si>
    <t>Results &amp; Discussion</t>
  </si>
  <si>
    <t>References</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</si>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</sst>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2">
    <xf numFmtId="0" fontId="0" fillId="0" borderId="0"/>
    <xf numFmtId="0" fontId="2" fillId="0" borderId="0" applyNumberFormat="0" applyFill="0" applyBorder="0" applyAlignment="0" applyProtection="0">
      <alignment vertical="top"/>
      <protection locked="0"/>
    </xf>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8">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2"/>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0" applyFont="1" applyFill="1" applyBorder="1" applyAlignment="1">
      <alignment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1" applyFont="1" applyFill="1" applyBorder="1">
      <alignment horizontal="left" vertical="center" indent="2"/>
    </xf>
    <xf numFmtId="0" fontId="19" fillId="3" borderId="6" xfId="10" applyFont="1" applyFill="1" applyBorder="1" applyAlignment="1">
      <alignment vertical="center"/>
    </xf>
    <xf numFmtId="164" fontId="19" fillId="3" borderId="6" xfId="9" applyFont="1" applyFill="1" applyBorder="1">
      <alignment horizontal="center" vertical="center"/>
    </xf>
    <xf numFmtId="0" fontId="4" fillId="0" borderId="4" xfId="0" applyFont="1" applyBorder="1" applyAlignment="1">
      <alignment vertical="center"/>
    </xf>
    <xf numFmtId="0" fontId="19" fillId="3" borderId="7" xfId="11" applyFont="1" applyFill="1" applyBorder="1">
      <alignment horizontal="left" vertical="center" indent="2"/>
    </xf>
    <xf numFmtId="0" fontId="19" fillId="3" borderId="7" xfId="10" applyFont="1" applyFill="1" applyBorder="1" applyAlignment="1">
      <alignment vertical="center"/>
    </xf>
    <xf numFmtId="164" fontId="19" fillId="3" borderId="7" xfId="9"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0" applyFont="1" applyFill="1" applyBorder="1" applyAlignment="1">
      <alignment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1" applyFont="1" applyFill="1" applyBorder="1">
      <alignment horizontal="left" vertical="center" indent="2"/>
    </xf>
    <xf numFmtId="0" fontId="19" fillId="4" borderId="5" xfId="10" applyFont="1" applyFill="1" applyBorder="1" applyAlignment="1">
      <alignment vertical="center"/>
    </xf>
    <xf numFmtId="164" fontId="19" fillId="4" borderId="5" xfId="9" applyFont="1" applyFill="1" applyBorder="1">
      <alignment horizontal="center" vertical="center"/>
    </xf>
    <xf numFmtId="0" fontId="23" fillId="8" borderId="0" xfId="0" applyFont="1" applyFill="1" applyAlignment="1">
      <alignment horizontal="left" vertical="center" indent="1"/>
    </xf>
    <xf numFmtId="0" fontId="19" fillId="8" borderId="0" xfId="10" applyFont="1" applyFill="1" applyBorder="1" applyAlignment="1">
      <alignment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1" applyFont="1" applyFill="1" applyBorder="1">
      <alignment horizontal="left" vertical="center" indent="2"/>
    </xf>
    <xf numFmtId="0" fontId="19" fillId="5" borderId="8" xfId="10" applyFont="1" applyFill="1" applyBorder="1" applyAlignment="1">
      <alignment vertical="center"/>
    </xf>
    <xf numFmtId="164" fontId="19" fillId="5" borderId="8" xfId="9" applyFont="1" applyFill="1" applyBorder="1">
      <alignment horizontal="center" vertical="center"/>
    </xf>
    <xf numFmtId="0" fontId="23" fillId="9" borderId="0" xfId="0" applyFont="1" applyFill="1" applyAlignment="1">
      <alignment horizontal="left" vertical="center" indent="1"/>
    </xf>
    <xf numFmtId="0" fontId="4" fillId="0" borderId="10" xfId="0" applyFont="1" applyBorder="1" applyAlignment="1">
      <alignment vertical="center"/>
    </xf>
    <xf numFmtId="0" fontId="19" fillId="10" borderId="9" xfId="11" applyFont="1" applyFill="1" applyBorder="1">
      <alignment horizontal="left" vertical="center" indent="2"/>
    </xf>
    <xf numFmtId="0" fontId="19" fillId="10" borderId="9" xfId="10" applyFont="1" applyFill="1" applyBorder="1" applyAlignment="1">
      <alignment vertical="center"/>
    </xf>
    <xf numFmtId="164" fontId="19" fillId="10" borderId="9" xfId="9" applyFont="1" applyFill="1" applyBorder="1">
      <alignment horizontal="center" vertical="center"/>
    </xf>
    <xf numFmtId="0" fontId="19" fillId="0" borderId="0" xfId="11" applyFont="1" applyBorder="1">
      <alignment horizontal="left" vertical="center" indent="2"/>
    </xf>
    <xf numFmtId="0" fontId="19" fillId="0" borderId="0" xfId="10" applyFont="1" applyBorder="1" applyAlignment="1">
      <alignment vertical="center"/>
    </xf>
    <xf numFmtId="164" fontId="19" fillId="0" borderId="0" xfId="9"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5" applyFont="1" applyAlignment="1">
      <alignment horizontal="left" vertical="center" indent="1"/>
    </xf>
    <xf numFmtId="0" fontId="26" fillId="0" borderId="0" xfId="6" applyFont="1" applyAlignment="1">
      <alignment horizontal="left" vertical="center" indent="1"/>
    </xf>
    <xf numFmtId="0" fontId="29" fillId="0" borderId="0" xfId="4"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4" fillId="0" borderId="0" xfId="0" applyFont="1"/>
    <xf numFmtId="0" fontId="19" fillId="5" borderId="0" xfId="11" applyFont="1" applyFill="1" applyBorder="1">
      <alignment horizontal="left" vertical="center" indent="2"/>
    </xf>
    <xf numFmtId="0" fontId="19" fillId="5" borderId="0" xfId="10" applyFont="1" applyFill="1" applyBorder="1" applyAlignment="1">
      <alignment vertical="center"/>
    </xf>
    <xf numFmtId="164" fontId="19" fillId="5" borderId="0" xfId="9" applyFont="1" applyFill="1" applyBorder="1">
      <alignment horizontal="center" vertical="center"/>
    </xf>
    <xf numFmtId="0" fontId="13" fillId="0" borderId="0" xfId="2" applyAlignment="1">
      <alignment wrapText="1"/>
    </xf>
    <xf numFmtId="0" fontId="27" fillId="0" borderId="0" xfId="0" applyFont="1" applyAlignment="1">
      <alignment horizontal="left"/>
    </xf>
    <xf numFmtId="0" fontId="28" fillId="0" borderId="0" xfId="0" applyFont="1" applyAlignment="1"/>
    <xf numFmtId="165" fontId="27" fillId="0" borderId="0" xfId="8" applyFont="1" applyBorder="1" applyAlignment="1">
      <alignment horizontal="left"/>
    </xf>
    <xf numFmtId="0" fontId="26" fillId="0" borderId="0" xfId="7" applyFont="1" applyAlignment="1">
      <alignment horizontal="left"/>
    </xf>
    <xf numFmtId="0" fontId="4" fillId="0" borderId="0" xfId="0" applyFont="1" applyAlignme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13" fillId="0" borderId="0" xfId="2"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applyAlignment="1"/>
    <xf numFmtId="0" fontId="20" fillId="11" borderId="16" xfId="0" applyFont="1" applyFill="1" applyBorder="1" applyAlignment="1">
      <alignment horizontal="center" vertical="center"/>
    </xf>
  </cellXfs>
  <cellStyles count="12">
    <cellStyle name="Comma" xfId="3" builtinId="3" customBuiltin="1"/>
    <cellStyle name="Date" xfId="9" xr:uid="{229918B6-DD13-4F5A-97B9-305F7E002AA3}"/>
    <cellStyle name="Heading 1" xfId="5" builtinId="16" customBuiltin="1"/>
    <cellStyle name="Heading 2" xfId="6" builtinId="17" customBuiltin="1"/>
    <cellStyle name="Heading 3" xfId="7" builtinId="18" customBuiltin="1"/>
    <cellStyle name="Hyperlink" xfId="1" builtinId="8" customBuiltin="1"/>
    <cellStyle name="Name" xfId="10" xr:uid="{B2D3C1EE-6B41-4801-AAFC-C2274E49E503}"/>
    <cellStyle name="Normal" xfId="0" builtinId="0"/>
    <cellStyle name="Project Start" xfId="8" xr:uid="{8EB8A09A-C31C-40A3-B2C1-9449520178B8}"/>
    <cellStyle name="Task" xfId="11" xr:uid="{6391D789-272B-4DD2-9BF3-2CDCF610FA41}"/>
    <cellStyle name="Title" xfId="4" builtinId="15" customBuiltin="1"/>
    <cellStyle name="zHiddenText" xfId="2"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41"/>
  <sheetViews>
    <sheetView showGridLines="0" tabSelected="1" showRuler="0" topLeftCell="A3" zoomScaleNormal="100" zoomScalePageLayoutView="70" workbookViewId="0">
      <selection activeCell="T11" sqref="T11"/>
    </sheetView>
  </sheetViews>
  <sheetFormatPr defaultColWidth="8.75" defaultRowHeight="30" customHeight="1"/>
  <cols>
    <col min="1" max="1" width="2.75" style="13" customWidth="1"/>
    <col min="2" max="2" width="23.25" customWidth="1"/>
    <col min="3" max="3" width="16.75" customWidth="1"/>
    <col min="4" max="4" width="10.75" style="2" customWidth="1"/>
    <col min="5" max="5" width="10.75" customWidth="1"/>
    <col min="6" max="6" width="2.75" customWidth="1"/>
    <col min="7" max="7" width="6" hidden="1" customWidth="1"/>
    <col min="8" max="64" width="2.75" customWidth="1"/>
  </cols>
  <sheetData>
    <row r="1" spans="1:63" ht="90" customHeight="1">
      <c r="A1" s="93"/>
      <c r="B1" s="81" t="s">
        <v>0</v>
      </c>
      <c r="C1" s="17"/>
      <c r="D1" s="18"/>
      <c r="E1" s="19"/>
      <c r="G1" s="1"/>
      <c r="H1" s="97" t="s">
        <v>1</v>
      </c>
      <c r="I1" s="98"/>
      <c r="J1" s="98"/>
      <c r="K1" s="98"/>
      <c r="L1" s="98"/>
      <c r="M1" s="98"/>
      <c r="N1" s="98"/>
      <c r="O1" s="22"/>
      <c r="P1" s="96">
        <f ca="1">TODAY()</f>
        <v>46075</v>
      </c>
      <c r="Q1" s="95"/>
      <c r="R1" s="95"/>
      <c r="S1" s="95"/>
      <c r="T1" s="95"/>
      <c r="U1" s="95"/>
      <c r="V1" s="95"/>
      <c r="W1" s="95"/>
      <c r="X1" s="95"/>
      <c r="Y1" s="95"/>
    </row>
    <row r="2" spans="1:63" ht="30" customHeight="1">
      <c r="B2" s="79" t="s">
        <v>2</v>
      </c>
      <c r="C2" s="80"/>
      <c r="D2" s="21"/>
      <c r="E2" s="20"/>
      <c r="H2" s="97" t="s">
        <v>3</v>
      </c>
      <c r="I2" s="98"/>
      <c r="J2" s="98"/>
      <c r="K2" s="98"/>
      <c r="L2" s="98"/>
      <c r="M2" s="98"/>
      <c r="N2" s="98"/>
      <c r="O2" s="22"/>
      <c r="P2" s="94">
        <v>1</v>
      </c>
      <c r="Q2" s="95"/>
      <c r="R2" s="95"/>
      <c r="S2" s="95"/>
      <c r="T2" s="95"/>
      <c r="U2" s="95"/>
      <c r="V2" s="95"/>
      <c r="W2" s="95"/>
      <c r="X2" s="95"/>
      <c r="Y2" s="95"/>
    </row>
    <row r="3" spans="1:63" s="24" customFormat="1" ht="30" customHeight="1">
      <c r="A3" s="13"/>
      <c r="B3" s="23" t="s">
        <v>4</v>
      </c>
      <c r="C3" s="89"/>
      <c r="D3" s="25"/>
      <c r="E3" s="89"/>
      <c r="F3" s="89"/>
      <c r="G3" s="89"/>
      <c r="H3" s="89"/>
      <c r="I3" s="89"/>
      <c r="J3" s="89"/>
      <c r="K3" s="89"/>
      <c r="L3" s="89"/>
      <c r="M3" s="89"/>
      <c r="N3" s="89"/>
      <c r="O3" s="89"/>
      <c r="P3" s="89"/>
      <c r="Q3" s="89"/>
      <c r="R3" s="89"/>
      <c r="S3" s="89"/>
      <c r="T3" s="89"/>
      <c r="U3" s="89"/>
      <c r="V3" s="89"/>
      <c r="W3" s="89"/>
      <c r="X3" s="89"/>
      <c r="Y3" s="89"/>
      <c r="Z3" s="89"/>
      <c r="AA3" s="89"/>
      <c r="AB3" s="89"/>
      <c r="AC3" s="89"/>
      <c r="AD3" s="89"/>
      <c r="AE3" s="89"/>
      <c r="AF3" s="89"/>
      <c r="AG3" s="89"/>
      <c r="AH3" s="89"/>
      <c r="AI3" s="89"/>
      <c r="AJ3" s="89"/>
      <c r="AK3" s="89"/>
      <c r="AL3" s="89"/>
      <c r="AM3" s="89"/>
      <c r="AN3" s="89"/>
      <c r="AO3" s="89"/>
      <c r="AP3" s="89"/>
      <c r="AQ3" s="89"/>
      <c r="AR3" s="89"/>
      <c r="AS3" s="89"/>
      <c r="AT3" s="89"/>
      <c r="AU3" s="89"/>
      <c r="AV3" s="89"/>
      <c r="AW3" s="89"/>
      <c r="AX3" s="89"/>
      <c r="AY3" s="89"/>
      <c r="AZ3" s="89"/>
      <c r="BA3" s="89"/>
      <c r="BB3" s="89"/>
      <c r="BC3" s="89"/>
      <c r="BD3" s="89"/>
      <c r="BE3" s="89"/>
      <c r="BF3" s="89"/>
      <c r="BG3" s="89"/>
      <c r="BH3" s="89"/>
      <c r="BI3" s="89"/>
      <c r="BJ3" s="89"/>
      <c r="BK3" s="89"/>
    </row>
    <row r="4" spans="1:63" s="24" customFormat="1" ht="30" customHeight="1">
      <c r="A4" s="93"/>
      <c r="B4" s="26" t="s">
        <v>5</v>
      </c>
      <c r="C4" s="89"/>
      <c r="D4" s="27"/>
      <c r="E4" s="89"/>
      <c r="F4" s="89"/>
      <c r="G4" s="89"/>
      <c r="H4" s="101">
        <f ca="1">H5</f>
        <v>46076</v>
      </c>
      <c r="I4" s="99"/>
      <c r="J4" s="99"/>
      <c r="K4" s="99"/>
      <c r="L4" s="99"/>
      <c r="M4" s="99"/>
      <c r="N4" s="99"/>
      <c r="O4" s="99">
        <f ca="1">O5</f>
        <v>46083</v>
      </c>
      <c r="P4" s="99"/>
      <c r="Q4" s="99"/>
      <c r="R4" s="99"/>
      <c r="S4" s="99"/>
      <c r="T4" s="99"/>
      <c r="U4" s="99"/>
      <c r="V4" s="99">
        <f ca="1">V5</f>
        <v>46090</v>
      </c>
      <c r="W4" s="99"/>
      <c r="X4" s="99"/>
      <c r="Y4" s="99"/>
      <c r="Z4" s="99"/>
      <c r="AA4" s="99"/>
      <c r="AB4" s="99"/>
      <c r="AC4" s="99">
        <f ca="1">AC5</f>
        <v>46097</v>
      </c>
      <c r="AD4" s="99"/>
      <c r="AE4" s="99"/>
      <c r="AF4" s="99"/>
      <c r="AG4" s="99"/>
      <c r="AH4" s="99"/>
      <c r="AI4" s="99"/>
      <c r="AJ4" s="99">
        <f ca="1">AJ5</f>
        <v>46104</v>
      </c>
      <c r="AK4" s="99"/>
      <c r="AL4" s="99"/>
      <c r="AM4" s="99"/>
      <c r="AN4" s="99"/>
      <c r="AO4" s="99"/>
      <c r="AP4" s="99"/>
      <c r="AQ4" s="99">
        <f ca="1">AQ5</f>
        <v>46111</v>
      </c>
      <c r="AR4" s="99"/>
      <c r="AS4" s="99"/>
      <c r="AT4" s="99"/>
      <c r="AU4" s="99"/>
      <c r="AV4" s="99"/>
      <c r="AW4" s="99"/>
      <c r="AX4" s="99">
        <f ca="1">AX5</f>
        <v>46118</v>
      </c>
      <c r="AY4" s="99"/>
      <c r="AZ4" s="99"/>
      <c r="BA4" s="99"/>
      <c r="BB4" s="99"/>
      <c r="BC4" s="99"/>
      <c r="BD4" s="99"/>
      <c r="BE4" s="99">
        <f ca="1">BE5</f>
        <v>46125</v>
      </c>
      <c r="BF4" s="99"/>
      <c r="BG4" s="99"/>
      <c r="BH4" s="99"/>
      <c r="BI4" s="99"/>
      <c r="BJ4" s="99"/>
      <c r="BK4" s="100"/>
    </row>
    <row r="5" spans="1:63" s="24" customFormat="1" ht="15" customHeight="1">
      <c r="A5" s="102"/>
      <c r="B5" s="103" t="s">
        <v>6</v>
      </c>
      <c r="C5" s="105" t="s">
        <v>7</v>
      </c>
      <c r="D5" s="107" t="s">
        <v>8</v>
      </c>
      <c r="E5" s="107" t="s">
        <v>9</v>
      </c>
      <c r="F5" s="89"/>
      <c r="G5" s="89"/>
      <c r="H5" s="28">
        <f ca="1">Project_Start-WEEKDAY(Project_Start,1)+2+7*(Display_Week-1)</f>
        <v>46076</v>
      </c>
      <c r="I5" s="28">
        <f ca="1">H5+1</f>
        <v>46077</v>
      </c>
      <c r="J5" s="28">
        <f t="shared" ref="J5:AW5" ca="1" si="0">I5+1</f>
        <v>46078</v>
      </c>
      <c r="K5" s="28">
        <f t="shared" ca="1" si="0"/>
        <v>46079</v>
      </c>
      <c r="L5" s="28">
        <f t="shared" ca="1" si="0"/>
        <v>46080</v>
      </c>
      <c r="M5" s="28">
        <f t="shared" ca="1" si="0"/>
        <v>46081</v>
      </c>
      <c r="N5" s="29">
        <f t="shared" ca="1" si="0"/>
        <v>46082</v>
      </c>
      <c r="O5" s="30">
        <f ca="1">N5+1</f>
        <v>46083</v>
      </c>
      <c r="P5" s="28">
        <f ca="1">O5+1</f>
        <v>46084</v>
      </c>
      <c r="Q5" s="28">
        <f t="shared" ca="1" si="0"/>
        <v>46085</v>
      </c>
      <c r="R5" s="28">
        <f t="shared" ca="1" si="0"/>
        <v>46086</v>
      </c>
      <c r="S5" s="28">
        <f t="shared" ca="1" si="0"/>
        <v>46087</v>
      </c>
      <c r="T5" s="28">
        <f t="shared" ca="1" si="0"/>
        <v>46088</v>
      </c>
      <c r="U5" s="29">
        <f t="shared" ca="1" si="0"/>
        <v>46089</v>
      </c>
      <c r="V5" s="30">
        <f ca="1">U5+1</f>
        <v>46090</v>
      </c>
      <c r="W5" s="28">
        <f ca="1">V5+1</f>
        <v>46091</v>
      </c>
      <c r="X5" s="28">
        <f t="shared" ca="1" si="0"/>
        <v>46092</v>
      </c>
      <c r="Y5" s="28">
        <f t="shared" ca="1" si="0"/>
        <v>46093</v>
      </c>
      <c r="Z5" s="28">
        <f t="shared" ca="1" si="0"/>
        <v>46094</v>
      </c>
      <c r="AA5" s="28">
        <f t="shared" ca="1" si="0"/>
        <v>46095</v>
      </c>
      <c r="AB5" s="29">
        <f t="shared" ca="1" si="0"/>
        <v>46096</v>
      </c>
      <c r="AC5" s="30">
        <f ca="1">AB5+1</f>
        <v>46097</v>
      </c>
      <c r="AD5" s="28">
        <f ca="1">AC5+1</f>
        <v>46098</v>
      </c>
      <c r="AE5" s="28">
        <f t="shared" ca="1" si="0"/>
        <v>46099</v>
      </c>
      <c r="AF5" s="28">
        <f t="shared" ca="1" si="0"/>
        <v>46100</v>
      </c>
      <c r="AG5" s="28">
        <f t="shared" ca="1" si="0"/>
        <v>46101</v>
      </c>
      <c r="AH5" s="28">
        <f t="shared" ca="1" si="0"/>
        <v>46102</v>
      </c>
      <c r="AI5" s="29">
        <f t="shared" ca="1" si="0"/>
        <v>46103</v>
      </c>
      <c r="AJ5" s="30">
        <f ca="1">AI5+1</f>
        <v>46104</v>
      </c>
      <c r="AK5" s="28">
        <f ca="1">AJ5+1</f>
        <v>46105</v>
      </c>
      <c r="AL5" s="28">
        <f t="shared" ca="1" si="0"/>
        <v>46106</v>
      </c>
      <c r="AM5" s="28">
        <f t="shared" ca="1" si="0"/>
        <v>46107</v>
      </c>
      <c r="AN5" s="28">
        <f t="shared" ca="1" si="0"/>
        <v>46108</v>
      </c>
      <c r="AO5" s="28">
        <f t="shared" ca="1" si="0"/>
        <v>46109</v>
      </c>
      <c r="AP5" s="29">
        <f t="shared" ca="1" si="0"/>
        <v>46110</v>
      </c>
      <c r="AQ5" s="30">
        <f ca="1">AP5+1</f>
        <v>46111</v>
      </c>
      <c r="AR5" s="28">
        <f ca="1">AQ5+1</f>
        <v>46112</v>
      </c>
      <c r="AS5" s="28">
        <f t="shared" ca="1" si="0"/>
        <v>46113</v>
      </c>
      <c r="AT5" s="28">
        <f t="shared" ca="1" si="0"/>
        <v>46114</v>
      </c>
      <c r="AU5" s="28">
        <f t="shared" ca="1" si="0"/>
        <v>46115</v>
      </c>
      <c r="AV5" s="28">
        <f t="shared" ca="1" si="0"/>
        <v>46116</v>
      </c>
      <c r="AW5" s="29">
        <f t="shared" ca="1" si="0"/>
        <v>46117</v>
      </c>
      <c r="AX5" s="30">
        <f ca="1">AW5+1</f>
        <v>46118</v>
      </c>
      <c r="AY5" s="28">
        <f ca="1">AX5+1</f>
        <v>46119</v>
      </c>
      <c r="AZ5" s="28">
        <f t="shared" ref="AZ5:BD5" ca="1" si="1">AY5+1</f>
        <v>46120</v>
      </c>
      <c r="BA5" s="28">
        <f t="shared" ca="1" si="1"/>
        <v>46121</v>
      </c>
      <c r="BB5" s="28">
        <f t="shared" ca="1" si="1"/>
        <v>46122</v>
      </c>
      <c r="BC5" s="28">
        <f t="shared" ca="1" si="1"/>
        <v>46123</v>
      </c>
      <c r="BD5" s="29">
        <f t="shared" ca="1" si="1"/>
        <v>46124</v>
      </c>
      <c r="BE5" s="30">
        <f ca="1">BD5+1</f>
        <v>46125</v>
      </c>
      <c r="BF5" s="28">
        <f ca="1">BE5+1</f>
        <v>46126</v>
      </c>
      <c r="BG5" s="28">
        <f t="shared" ref="BG5:BK5" ca="1" si="2">BF5+1</f>
        <v>46127</v>
      </c>
      <c r="BH5" s="28">
        <f t="shared" ca="1" si="2"/>
        <v>46128</v>
      </c>
      <c r="BI5" s="28">
        <f t="shared" ca="1" si="2"/>
        <v>46129</v>
      </c>
      <c r="BJ5" s="28">
        <f t="shared" ca="1" si="2"/>
        <v>46130</v>
      </c>
      <c r="BK5" s="28">
        <f t="shared" ca="1" si="2"/>
        <v>46131</v>
      </c>
    </row>
    <row r="6" spans="1:63" s="24" customFormat="1" ht="15" customHeight="1" thickBot="1">
      <c r="A6" s="102"/>
      <c r="B6" s="104"/>
      <c r="C6" s="106"/>
      <c r="D6" s="106"/>
      <c r="E6" s="106"/>
      <c r="F6" s="89"/>
      <c r="G6" s="89"/>
      <c r="H6" s="31" t="str">
        <f t="shared" ref="H6:AM6" ca="1" si="3">LEFT(TEXT(H5,"ddd"),1)</f>
        <v>M</v>
      </c>
      <c r="I6" s="32" t="str">
        <f t="shared" ca="1" si="3"/>
        <v>T</v>
      </c>
      <c r="J6" s="32" t="str">
        <f t="shared" ca="1" si="3"/>
        <v>W</v>
      </c>
      <c r="K6" s="32" t="str">
        <f t="shared" ca="1" si="3"/>
        <v>T</v>
      </c>
      <c r="L6" s="32" t="str">
        <f t="shared" ca="1" si="3"/>
        <v>F</v>
      </c>
      <c r="M6" s="32" t="str">
        <f t="shared" ca="1" si="3"/>
        <v>S</v>
      </c>
      <c r="N6" s="32" t="str">
        <f t="shared" ca="1" si="3"/>
        <v>S</v>
      </c>
      <c r="O6" s="32" t="str">
        <f t="shared" ca="1" si="3"/>
        <v>M</v>
      </c>
      <c r="P6" s="32" t="str">
        <f t="shared" ca="1" si="3"/>
        <v>T</v>
      </c>
      <c r="Q6" s="32" t="str">
        <f t="shared" ca="1" si="3"/>
        <v>W</v>
      </c>
      <c r="R6" s="32" t="str">
        <f t="shared" ca="1" si="3"/>
        <v>T</v>
      </c>
      <c r="S6" s="32" t="str">
        <f t="shared" ca="1" si="3"/>
        <v>F</v>
      </c>
      <c r="T6" s="32" t="str">
        <f t="shared" ca="1" si="3"/>
        <v>S</v>
      </c>
      <c r="U6" s="32" t="str">
        <f t="shared" ca="1" si="3"/>
        <v>S</v>
      </c>
      <c r="V6" s="32" t="str">
        <f t="shared" ca="1" si="3"/>
        <v>M</v>
      </c>
      <c r="W6" s="32" t="str">
        <f t="shared" ca="1" si="3"/>
        <v>T</v>
      </c>
      <c r="X6" s="32" t="str">
        <f t="shared" ca="1" si="3"/>
        <v>W</v>
      </c>
      <c r="Y6" s="32" t="str">
        <f t="shared" ca="1" si="3"/>
        <v>T</v>
      </c>
      <c r="Z6" s="32" t="str">
        <f t="shared" ca="1" si="3"/>
        <v>F</v>
      </c>
      <c r="AA6" s="32" t="str">
        <f t="shared" ca="1" si="3"/>
        <v>S</v>
      </c>
      <c r="AB6" s="32" t="str">
        <f t="shared" ca="1" si="3"/>
        <v>S</v>
      </c>
      <c r="AC6" s="32" t="str">
        <f t="shared" ca="1" si="3"/>
        <v>M</v>
      </c>
      <c r="AD6" s="32" t="str">
        <f t="shared" ca="1" si="3"/>
        <v>T</v>
      </c>
      <c r="AE6" s="32" t="str">
        <f t="shared" ca="1" si="3"/>
        <v>W</v>
      </c>
      <c r="AF6" s="32" t="str">
        <f t="shared" ca="1" si="3"/>
        <v>T</v>
      </c>
      <c r="AG6" s="32" t="str">
        <f t="shared" ca="1" si="3"/>
        <v>F</v>
      </c>
      <c r="AH6" s="32" t="str">
        <f t="shared" ca="1" si="3"/>
        <v>S</v>
      </c>
      <c r="AI6" s="32" t="str">
        <f t="shared" ca="1" si="3"/>
        <v>S</v>
      </c>
      <c r="AJ6" s="32" t="str">
        <f t="shared" ca="1" si="3"/>
        <v>M</v>
      </c>
      <c r="AK6" s="32" t="str">
        <f t="shared" ca="1" si="3"/>
        <v>T</v>
      </c>
      <c r="AL6" s="32" t="str">
        <f t="shared" ca="1" si="3"/>
        <v>W</v>
      </c>
      <c r="AM6" s="32" t="str">
        <f t="shared" ca="1" si="3"/>
        <v>T</v>
      </c>
      <c r="AN6" s="32" t="str">
        <f t="shared" ref="AN6:BK6" ca="1" si="4">LEFT(TEXT(AN5,"ddd"),1)</f>
        <v>F</v>
      </c>
      <c r="AO6" s="32" t="str">
        <f t="shared" ca="1" si="4"/>
        <v>S</v>
      </c>
      <c r="AP6" s="32" t="str">
        <f t="shared" ca="1" si="4"/>
        <v>S</v>
      </c>
      <c r="AQ6" s="32" t="str">
        <f t="shared" ca="1" si="4"/>
        <v>M</v>
      </c>
      <c r="AR6" s="32" t="str">
        <f t="shared" ca="1" si="4"/>
        <v>T</v>
      </c>
      <c r="AS6" s="32" t="str">
        <f t="shared" ca="1" si="4"/>
        <v>W</v>
      </c>
      <c r="AT6" s="32" t="str">
        <f t="shared" ca="1" si="4"/>
        <v>T</v>
      </c>
      <c r="AU6" s="32" t="str">
        <f t="shared" ca="1" si="4"/>
        <v>F</v>
      </c>
      <c r="AV6" s="32" t="str">
        <f t="shared" ca="1" si="4"/>
        <v>S</v>
      </c>
      <c r="AW6" s="32" t="str">
        <f t="shared" ca="1" si="4"/>
        <v>S</v>
      </c>
      <c r="AX6" s="32" t="str">
        <f t="shared" ca="1" si="4"/>
        <v>M</v>
      </c>
      <c r="AY6" s="32" t="str">
        <f t="shared" ca="1" si="4"/>
        <v>T</v>
      </c>
      <c r="AZ6" s="32" t="str">
        <f t="shared" ca="1" si="4"/>
        <v>W</v>
      </c>
      <c r="BA6" s="32" t="str">
        <f t="shared" ca="1" si="4"/>
        <v>T</v>
      </c>
      <c r="BB6" s="32" t="str">
        <f t="shared" ca="1" si="4"/>
        <v>F</v>
      </c>
      <c r="BC6" s="32" t="str">
        <f t="shared" ca="1" si="4"/>
        <v>S</v>
      </c>
      <c r="BD6" s="32" t="str">
        <f t="shared" ca="1" si="4"/>
        <v>S</v>
      </c>
      <c r="BE6" s="32" t="str">
        <f t="shared" ca="1" si="4"/>
        <v>M</v>
      </c>
      <c r="BF6" s="32" t="str">
        <f t="shared" ca="1" si="4"/>
        <v>T</v>
      </c>
      <c r="BG6" s="32" t="str">
        <f t="shared" ca="1" si="4"/>
        <v>W</v>
      </c>
      <c r="BH6" s="32" t="str">
        <f t="shared" ca="1" si="4"/>
        <v>T</v>
      </c>
      <c r="BI6" s="32" t="str">
        <f t="shared" ca="1" si="4"/>
        <v>F</v>
      </c>
      <c r="BJ6" s="32" t="str">
        <f t="shared" ca="1" si="4"/>
        <v>S</v>
      </c>
      <c r="BK6" s="33" t="str">
        <f t="shared" ca="1" si="4"/>
        <v>S</v>
      </c>
    </row>
    <row r="7" spans="1:63" s="24" customFormat="1" ht="30" hidden="1" customHeight="1" thickBot="1">
      <c r="A7" s="13" t="s">
        <v>10</v>
      </c>
      <c r="B7" s="34"/>
      <c r="C7" s="35"/>
      <c r="D7" s="34"/>
      <c r="E7" s="34"/>
      <c r="F7" s="89"/>
      <c r="G7" s="89" t="str">
        <f ca="1">IF(OR(ISBLANK(task_start),ISBLANK(task_end)),"",task_end-task_start+1)</f>
        <v/>
      </c>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row>
    <row r="8" spans="1:63" s="42" customFormat="1" ht="30" customHeight="1" thickBot="1">
      <c r="A8" s="93"/>
      <c r="B8" s="37" t="s">
        <v>11</v>
      </c>
      <c r="C8" s="38"/>
      <c r="D8" s="39"/>
      <c r="E8" s="40"/>
      <c r="F8" s="16"/>
      <c r="G8" s="5" t="str">
        <f t="shared" ref="G8:G38" ca="1" si="5">IF(OR(ISBLANK(task_start),ISBLANK(task_end)),"",task_end-task_start+1)</f>
        <v/>
      </c>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row>
    <row r="9" spans="1:63" s="42" customFormat="1" ht="30" customHeight="1" thickBot="1">
      <c r="A9" s="93"/>
      <c r="B9" s="43" t="s">
        <v>12</v>
      </c>
      <c r="C9" s="44" t="s">
        <v>13</v>
      </c>
      <c r="D9" s="45">
        <f ca="1">Project_Start</f>
        <v>46075</v>
      </c>
      <c r="E9" s="45">
        <v>46066</v>
      </c>
      <c r="F9" s="16"/>
      <c r="G9" s="5">
        <f t="shared" ca="1" si="5"/>
        <v>-8</v>
      </c>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row>
    <row r="10" spans="1:63" s="42" customFormat="1" ht="30" customHeight="1" thickBot="1">
      <c r="A10" s="93"/>
      <c r="B10" s="47" t="s">
        <v>14</v>
      </c>
      <c r="C10" s="48" t="s">
        <v>15</v>
      </c>
      <c r="D10" s="49">
        <v>46064</v>
      </c>
      <c r="E10" s="49">
        <v>46068</v>
      </c>
      <c r="F10" s="16"/>
      <c r="G10" s="5">
        <f t="shared" ca="1" si="5"/>
        <v>5</v>
      </c>
      <c r="H10" s="46"/>
      <c r="I10" s="46"/>
      <c r="J10" s="46"/>
      <c r="K10" s="46"/>
      <c r="L10" s="46"/>
      <c r="M10" s="46"/>
      <c r="N10" s="46"/>
      <c r="O10" s="46"/>
      <c r="P10" s="46"/>
      <c r="Q10" s="46"/>
      <c r="R10" s="46"/>
      <c r="S10" s="46"/>
      <c r="T10" s="50"/>
      <c r="U10" s="50"/>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row>
    <row r="11" spans="1:63" s="42" customFormat="1" ht="30" customHeight="1" thickBot="1">
      <c r="A11" s="93"/>
      <c r="B11" s="51" t="s">
        <v>16</v>
      </c>
      <c r="C11" s="52"/>
      <c r="D11" s="53"/>
      <c r="E11" s="54"/>
      <c r="F11" s="16"/>
      <c r="G11" s="5" t="str">
        <f t="shared" ca="1" si="5"/>
        <v/>
      </c>
    </row>
    <row r="12" spans="1:63" s="42" customFormat="1" ht="30" customHeight="1" thickBot="1">
      <c r="A12" s="93"/>
      <c r="B12" s="55" t="s">
        <v>17</v>
      </c>
      <c r="C12" s="56" t="s">
        <v>18</v>
      </c>
      <c r="D12" s="57">
        <v>46068</v>
      </c>
      <c r="E12" s="57">
        <v>46070</v>
      </c>
      <c r="F12" s="16"/>
      <c r="G12" s="5">
        <f t="shared" ca="1" si="5"/>
        <v>3</v>
      </c>
      <c r="H12" s="46"/>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row>
    <row r="13" spans="1:63" s="42" customFormat="1" ht="30" customHeight="1" thickBot="1">
      <c r="A13" s="93"/>
      <c r="B13" s="55" t="s">
        <v>19</v>
      </c>
      <c r="C13" s="56" t="s">
        <v>18</v>
      </c>
      <c r="D13" s="57">
        <v>46070</v>
      </c>
      <c r="E13" s="57">
        <v>46070</v>
      </c>
      <c r="F13" s="16"/>
      <c r="G13" s="5"/>
      <c r="H13" s="46"/>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row>
    <row r="14" spans="1:63" s="42" customFormat="1" ht="30" customHeight="1" thickBot="1">
      <c r="A14" s="93"/>
      <c r="B14" s="55" t="s">
        <v>20</v>
      </c>
      <c r="C14" s="56"/>
      <c r="D14" s="57"/>
      <c r="E14" s="57"/>
      <c r="F14" s="16"/>
      <c r="G14" s="5"/>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row>
    <row r="15" spans="1:63" s="42" customFormat="1" ht="30" customHeight="1" thickBot="1">
      <c r="A15" s="13"/>
      <c r="B15" s="55" t="s">
        <v>21</v>
      </c>
      <c r="C15" s="56" t="s">
        <v>15</v>
      </c>
      <c r="D15" s="57">
        <v>46070</v>
      </c>
      <c r="E15" s="57">
        <v>46073</v>
      </c>
      <c r="F15" s="16"/>
      <c r="G15" s="5">
        <f t="shared" ca="1" si="5"/>
        <v>4</v>
      </c>
      <c r="H15" s="46"/>
      <c r="I15" s="46"/>
      <c r="J15" s="46"/>
      <c r="K15" s="46"/>
      <c r="L15" s="46"/>
      <c r="M15" s="46"/>
      <c r="N15" s="46"/>
      <c r="O15" s="46"/>
      <c r="P15" s="46"/>
      <c r="Q15" s="46"/>
      <c r="R15" s="46"/>
      <c r="S15" s="46"/>
      <c r="T15" s="50"/>
      <c r="U15" s="50"/>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row>
    <row r="16" spans="1:63" s="42" customFormat="1" ht="30" customHeight="1" thickBot="1">
      <c r="A16" s="13"/>
      <c r="B16" s="55" t="s">
        <v>22</v>
      </c>
      <c r="C16" s="56" t="s">
        <v>15</v>
      </c>
      <c r="D16" s="57">
        <v>46070</v>
      </c>
      <c r="E16" s="57">
        <v>46073</v>
      </c>
      <c r="F16" s="16"/>
      <c r="G16" s="5"/>
      <c r="H16" s="46"/>
      <c r="I16" s="46"/>
      <c r="J16" s="46"/>
      <c r="K16" s="46"/>
      <c r="L16" s="46"/>
      <c r="M16" s="46"/>
      <c r="N16" s="46"/>
      <c r="O16" s="46"/>
      <c r="P16" s="46"/>
      <c r="Q16" s="46"/>
      <c r="R16" s="46"/>
      <c r="S16" s="46"/>
      <c r="T16" s="50"/>
      <c r="U16" s="50"/>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row>
    <row r="17" spans="1:63" s="42" customFormat="1" ht="30" customHeight="1" thickBot="1">
      <c r="A17" s="13"/>
      <c r="B17" s="55" t="s">
        <v>23</v>
      </c>
      <c r="C17" s="56" t="s">
        <v>15</v>
      </c>
      <c r="D17" s="57">
        <v>46070</v>
      </c>
      <c r="E17" s="57">
        <v>46073</v>
      </c>
      <c r="F17" s="16"/>
      <c r="G17" s="5"/>
      <c r="H17" s="46"/>
      <c r="I17" s="46"/>
      <c r="J17" s="46"/>
      <c r="K17" s="46"/>
      <c r="L17" s="46"/>
      <c r="M17" s="46"/>
      <c r="N17" s="46"/>
      <c r="O17" s="46"/>
      <c r="P17" s="46"/>
      <c r="Q17" s="46"/>
      <c r="R17" s="46"/>
      <c r="S17" s="46"/>
      <c r="T17" s="50"/>
      <c r="U17" s="50"/>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row>
    <row r="18" spans="1:63" s="42" customFormat="1" ht="30" customHeight="1" thickBot="1">
      <c r="A18" s="13"/>
      <c r="B18" s="55" t="s">
        <v>24</v>
      </c>
      <c r="C18" s="56" t="s">
        <v>18</v>
      </c>
      <c r="D18" s="57">
        <v>46070</v>
      </c>
      <c r="E18" s="57">
        <v>46073</v>
      </c>
      <c r="F18" s="16"/>
      <c r="G18" s="5"/>
      <c r="H18" s="46"/>
      <c r="I18" s="46"/>
      <c r="J18" s="46"/>
      <c r="K18" s="46"/>
      <c r="L18" s="46"/>
      <c r="M18" s="46"/>
      <c r="N18" s="46"/>
      <c r="O18" s="46"/>
      <c r="P18" s="46"/>
      <c r="Q18" s="46"/>
      <c r="R18" s="46"/>
      <c r="S18" s="46"/>
      <c r="T18" s="50"/>
      <c r="U18" s="50"/>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row>
    <row r="19" spans="1:63" s="42" customFormat="1" ht="30" customHeight="1" thickBot="1">
      <c r="A19" s="13"/>
      <c r="B19" s="55" t="s">
        <v>25</v>
      </c>
      <c r="C19" s="56" t="s">
        <v>18</v>
      </c>
      <c r="D19" s="57">
        <v>46070</v>
      </c>
      <c r="E19" s="57">
        <v>46073</v>
      </c>
      <c r="F19" s="16"/>
      <c r="G19" s="5"/>
      <c r="H19" s="46"/>
      <c r="I19" s="46"/>
      <c r="J19" s="46"/>
      <c r="K19" s="46"/>
      <c r="L19" s="46"/>
      <c r="M19" s="46"/>
      <c r="N19" s="46"/>
      <c r="O19" s="46"/>
      <c r="P19" s="46"/>
      <c r="Q19" s="46"/>
      <c r="R19" s="46"/>
      <c r="S19" s="46"/>
      <c r="T19" s="50"/>
      <c r="U19" s="50"/>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row>
    <row r="20" spans="1:63" s="42" customFormat="1" ht="30" customHeight="1" thickBot="1">
      <c r="A20" s="13"/>
      <c r="B20" s="55" t="s">
        <v>26</v>
      </c>
      <c r="C20" s="56" t="s">
        <v>18</v>
      </c>
      <c r="D20" s="57">
        <v>46070</v>
      </c>
      <c r="E20" s="57">
        <v>46073</v>
      </c>
      <c r="F20" s="16"/>
      <c r="G20" s="5"/>
      <c r="H20" s="46"/>
      <c r="I20" s="46"/>
      <c r="J20" s="46"/>
      <c r="K20" s="46"/>
      <c r="L20" s="46"/>
      <c r="M20" s="46"/>
      <c r="N20" s="46"/>
      <c r="O20" s="46"/>
      <c r="P20" s="46"/>
      <c r="Q20" s="46"/>
      <c r="R20" s="46"/>
      <c r="S20" s="46"/>
      <c r="T20" s="50"/>
      <c r="U20" s="50"/>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c r="BA20" s="46"/>
      <c r="BB20" s="46"/>
      <c r="BC20" s="46"/>
      <c r="BD20" s="46"/>
      <c r="BE20" s="46"/>
      <c r="BF20" s="46"/>
      <c r="BG20" s="46"/>
      <c r="BH20" s="46"/>
      <c r="BI20" s="46"/>
      <c r="BJ20" s="46"/>
      <c r="BK20" s="46"/>
    </row>
    <row r="21" spans="1:63" s="42" customFormat="1" ht="30" customHeight="1" thickBot="1">
      <c r="A21" s="13"/>
      <c r="B21" s="55" t="s">
        <v>27</v>
      </c>
      <c r="C21" s="56" t="s">
        <v>13</v>
      </c>
      <c r="D21" s="57">
        <v>46070</v>
      </c>
      <c r="E21" s="57">
        <v>46073</v>
      </c>
      <c r="F21" s="16"/>
      <c r="G21" s="5"/>
      <c r="H21" s="46"/>
      <c r="I21" s="46"/>
      <c r="J21" s="46"/>
      <c r="K21" s="46"/>
      <c r="L21" s="46"/>
      <c r="M21" s="46"/>
      <c r="N21" s="46"/>
      <c r="O21" s="46"/>
      <c r="P21" s="46"/>
      <c r="Q21" s="46"/>
      <c r="R21" s="46"/>
      <c r="S21" s="46"/>
      <c r="T21" s="50"/>
      <c r="U21" s="50"/>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row>
    <row r="22" spans="1:63" s="42" customFormat="1" ht="30" customHeight="1" thickBot="1">
      <c r="A22" s="13"/>
      <c r="B22" s="55" t="s">
        <v>28</v>
      </c>
      <c r="C22" s="56" t="s">
        <v>13</v>
      </c>
      <c r="D22" s="57">
        <v>46070</v>
      </c>
      <c r="E22" s="57">
        <v>46073</v>
      </c>
      <c r="F22" s="16"/>
      <c r="G22" s="5"/>
      <c r="H22" s="46"/>
      <c r="I22" s="46"/>
      <c r="J22" s="46"/>
      <c r="K22" s="46"/>
      <c r="L22" s="46"/>
      <c r="M22" s="46"/>
      <c r="N22" s="46"/>
      <c r="O22" s="46"/>
      <c r="P22" s="46"/>
      <c r="Q22" s="46"/>
      <c r="R22" s="46"/>
      <c r="S22" s="46"/>
      <c r="T22" s="50"/>
      <c r="U22" s="50"/>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c r="BA22" s="46"/>
      <c r="BB22" s="46"/>
      <c r="BC22" s="46"/>
      <c r="BD22" s="46"/>
      <c r="BE22" s="46"/>
      <c r="BF22" s="46"/>
      <c r="BG22" s="46"/>
      <c r="BH22" s="46"/>
      <c r="BI22" s="46"/>
      <c r="BJ22" s="46"/>
      <c r="BK22" s="46"/>
    </row>
    <row r="23" spans="1:63" s="42" customFormat="1" ht="30" customHeight="1" thickBot="1">
      <c r="A23" s="13"/>
      <c r="B23" s="55" t="s">
        <v>29</v>
      </c>
      <c r="C23" s="56" t="s">
        <v>13</v>
      </c>
      <c r="D23" s="57">
        <v>46070</v>
      </c>
      <c r="E23" s="57">
        <v>46073</v>
      </c>
      <c r="F23" s="16"/>
      <c r="G23" s="5"/>
      <c r="H23" s="46"/>
      <c r="I23" s="46"/>
      <c r="J23" s="46"/>
      <c r="K23" s="46"/>
      <c r="L23" s="46"/>
      <c r="M23" s="46"/>
      <c r="N23" s="46"/>
      <c r="O23" s="46"/>
      <c r="P23" s="46"/>
      <c r="Q23" s="46"/>
      <c r="R23" s="46"/>
      <c r="S23" s="46"/>
      <c r="T23" s="50"/>
      <c r="U23" s="50"/>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row>
    <row r="24" spans="1:63" s="42" customFormat="1" ht="30" customHeight="1" thickBot="1">
      <c r="A24" s="13"/>
      <c r="B24" s="55" t="s">
        <v>30</v>
      </c>
      <c r="C24" s="56" t="s">
        <v>13</v>
      </c>
      <c r="D24" s="57">
        <v>46070</v>
      </c>
      <c r="E24" s="57">
        <f>D24+3</f>
        <v>46073</v>
      </c>
      <c r="F24" s="16"/>
      <c r="G24" s="5">
        <f t="shared" ca="1" si="5"/>
        <v>4</v>
      </c>
      <c r="H24" s="46"/>
      <c r="I24" s="46"/>
      <c r="J24" s="46"/>
      <c r="K24" s="46"/>
      <c r="L24" s="46"/>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row>
    <row r="25" spans="1:63" s="42" customFormat="1" ht="30" customHeight="1" thickBot="1">
      <c r="A25" s="13"/>
      <c r="B25" s="58" t="s">
        <v>31</v>
      </c>
      <c r="C25" s="59"/>
      <c r="D25" s="60"/>
      <c r="E25" s="61"/>
      <c r="F25" s="16"/>
      <c r="G25" s="5" t="str">
        <f t="shared" ca="1" si="5"/>
        <v/>
      </c>
      <c r="H25" s="62"/>
      <c r="I25" s="62"/>
      <c r="J25" s="62"/>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62"/>
      <c r="AU25" s="62"/>
      <c r="AV25" s="62"/>
      <c r="AW25" s="62"/>
      <c r="AX25" s="62"/>
      <c r="AY25" s="62"/>
      <c r="AZ25" s="62"/>
      <c r="BA25" s="62"/>
      <c r="BB25" s="62"/>
      <c r="BC25" s="62"/>
      <c r="BD25" s="62"/>
      <c r="BE25" s="62"/>
      <c r="BF25" s="62"/>
      <c r="BG25" s="62"/>
      <c r="BH25" s="62"/>
      <c r="BI25" s="62"/>
      <c r="BJ25" s="62"/>
      <c r="BK25" s="62"/>
    </row>
    <row r="26" spans="1:63" s="42" customFormat="1" ht="30" customHeight="1" thickBot="1">
      <c r="A26" s="13"/>
      <c r="B26" s="63" t="s">
        <v>32</v>
      </c>
      <c r="C26" s="64" t="s">
        <v>18</v>
      </c>
      <c r="D26" s="65">
        <v>46073</v>
      </c>
      <c r="E26" s="65">
        <v>46077</v>
      </c>
      <c r="F26" s="16"/>
      <c r="G26" s="5">
        <f t="shared" ca="1" si="5"/>
        <v>5</v>
      </c>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row>
    <row r="27" spans="1:63" s="42" customFormat="1" ht="30" customHeight="1" thickBot="1">
      <c r="A27" s="13"/>
      <c r="B27" s="63" t="s">
        <v>33</v>
      </c>
      <c r="C27" s="64" t="s">
        <v>13</v>
      </c>
      <c r="D27" s="65">
        <v>46073</v>
      </c>
      <c r="E27" s="65">
        <v>46077</v>
      </c>
      <c r="F27" s="16"/>
      <c r="G27" s="5">
        <f t="shared" ca="1" si="5"/>
        <v>5</v>
      </c>
      <c r="H27" s="46"/>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row>
    <row r="28" spans="1:63" s="42" customFormat="1" ht="30" customHeight="1" thickBot="1">
      <c r="A28" s="13"/>
      <c r="B28" s="63" t="s">
        <v>34</v>
      </c>
      <c r="C28" s="64" t="s">
        <v>13</v>
      </c>
      <c r="D28" s="65">
        <v>46073</v>
      </c>
      <c r="E28" s="65">
        <v>46077</v>
      </c>
      <c r="F28" s="16"/>
      <c r="G28" s="5">
        <f t="shared" ca="1" si="5"/>
        <v>5</v>
      </c>
      <c r="H28" s="46"/>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row>
    <row r="29" spans="1:63" s="42" customFormat="1" ht="30" customHeight="1" thickBot="1">
      <c r="A29" s="13"/>
      <c r="B29" s="63" t="s">
        <v>35</v>
      </c>
      <c r="C29" s="64" t="s">
        <v>13</v>
      </c>
      <c r="D29" s="65">
        <v>46073</v>
      </c>
      <c r="E29" s="65">
        <v>46077</v>
      </c>
      <c r="F29" s="16"/>
      <c r="G29" s="5">
        <f t="shared" ca="1" si="5"/>
        <v>5</v>
      </c>
      <c r="H29" s="46"/>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row>
    <row r="30" spans="1:63" s="42" customFormat="1" ht="30" customHeight="1" thickBot="1">
      <c r="A30" s="13"/>
      <c r="B30" s="90"/>
      <c r="C30" s="91"/>
      <c r="D30" s="92"/>
      <c r="E30" s="92"/>
      <c r="F30" s="16"/>
      <c r="G30" s="5"/>
      <c r="H30" s="6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c r="BD30" s="67"/>
      <c r="BE30" s="67"/>
      <c r="BF30" s="67"/>
      <c r="BG30" s="67"/>
      <c r="BH30" s="67"/>
      <c r="BI30" s="67"/>
      <c r="BJ30" s="67"/>
      <c r="BK30" s="67"/>
    </row>
    <row r="31" spans="1:63" s="42" customFormat="1" ht="30" customHeight="1" thickBot="1">
      <c r="A31" s="13"/>
      <c r="B31" s="66"/>
      <c r="C31" s="66"/>
      <c r="D31" s="66"/>
      <c r="E31" s="66"/>
      <c r="F31" s="16"/>
      <c r="G31" s="5" t="str">
        <f t="shared" ca="1" si="5"/>
        <v/>
      </c>
      <c r="H31" s="67"/>
      <c r="I31" s="67"/>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row>
    <row r="32" spans="1:63" s="42" customFormat="1" ht="30" customHeight="1" thickBot="1">
      <c r="A32" s="13"/>
      <c r="B32" s="68"/>
      <c r="C32" s="69"/>
      <c r="D32" s="70"/>
      <c r="E32" s="70"/>
      <c r="F32" s="16"/>
      <c r="G32" s="5" t="str">
        <f t="shared" ca="1" si="5"/>
        <v/>
      </c>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c r="BE32" s="46"/>
      <c r="BF32" s="46"/>
      <c r="BG32" s="46"/>
      <c r="BH32" s="46"/>
      <c r="BI32" s="46"/>
      <c r="BJ32" s="46"/>
      <c r="BK32" s="46"/>
    </row>
    <row r="33" spans="1:63" s="42" customFormat="1" ht="30" customHeight="1" thickBot="1">
      <c r="A33" s="13"/>
      <c r="B33" s="68"/>
      <c r="C33" s="69"/>
      <c r="D33" s="70"/>
      <c r="E33" s="70"/>
      <c r="F33" s="16"/>
      <c r="G33" s="5" t="str">
        <f t="shared" ca="1" si="5"/>
        <v/>
      </c>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6"/>
      <c r="BK33" s="46"/>
    </row>
    <row r="34" spans="1:63" s="42" customFormat="1" ht="30" customHeight="1" thickBot="1">
      <c r="A34" s="13"/>
      <c r="B34" s="68"/>
      <c r="C34" s="69"/>
      <c r="D34" s="70"/>
      <c r="E34" s="70"/>
      <c r="F34" s="16"/>
      <c r="G34" s="5" t="str">
        <f t="shared" ca="1" si="5"/>
        <v/>
      </c>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6"/>
      <c r="BK34" s="46"/>
    </row>
    <row r="35" spans="1:63" s="42" customFormat="1" ht="30" customHeight="1" thickBot="1">
      <c r="A35" s="13"/>
      <c r="B35" s="68"/>
      <c r="C35" s="69"/>
      <c r="D35" s="70"/>
      <c r="E35" s="70"/>
      <c r="F35" s="16"/>
      <c r="G35" s="5" t="str">
        <f t="shared" ca="1" si="5"/>
        <v/>
      </c>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6"/>
      <c r="AR35" s="46"/>
      <c r="AS35" s="46"/>
      <c r="AT35" s="46"/>
      <c r="AU35" s="46"/>
      <c r="AV35" s="46"/>
      <c r="AW35" s="46"/>
      <c r="AX35" s="46"/>
      <c r="AY35" s="46"/>
      <c r="AZ35" s="46"/>
      <c r="BA35" s="46"/>
      <c r="BB35" s="46"/>
      <c r="BC35" s="46"/>
      <c r="BD35" s="46"/>
      <c r="BE35" s="46"/>
      <c r="BF35" s="46"/>
      <c r="BG35" s="46"/>
      <c r="BH35" s="46"/>
      <c r="BI35" s="46"/>
      <c r="BJ35" s="46"/>
      <c r="BK35" s="46"/>
    </row>
    <row r="36" spans="1:63" s="42" customFormat="1" ht="30" customHeight="1" thickBot="1">
      <c r="A36" s="13"/>
      <c r="B36" s="68"/>
      <c r="C36" s="69"/>
      <c r="D36" s="70"/>
      <c r="E36" s="70"/>
      <c r="F36" s="16"/>
      <c r="G36" s="5" t="str">
        <f ca="1">IF(OR(ISBLANK(task_start),ISBLANK(task_end)),"",task_end-task_start+1)</f>
        <v/>
      </c>
      <c r="H36" s="46"/>
      <c r="I36" s="46"/>
      <c r="J36" s="46"/>
      <c r="K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c r="BA36" s="46"/>
      <c r="BB36" s="46"/>
      <c r="BC36" s="46"/>
      <c r="BD36" s="46"/>
      <c r="BE36" s="46"/>
      <c r="BF36" s="46"/>
      <c r="BG36" s="46"/>
      <c r="BH36" s="46"/>
      <c r="BI36" s="46"/>
      <c r="BJ36" s="46"/>
      <c r="BK36" s="46"/>
    </row>
    <row r="37" spans="1:63" s="42" customFormat="1" ht="30" customHeight="1" thickBot="1">
      <c r="A37" s="13"/>
      <c r="B37" s="71"/>
      <c r="C37" s="72"/>
      <c r="D37" s="73"/>
      <c r="E37" s="73"/>
      <c r="F37" s="16"/>
      <c r="G37" s="5" t="str">
        <f t="shared" ca="1" si="5"/>
        <v/>
      </c>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row>
    <row r="38" spans="1:63" s="42" customFormat="1" ht="30" customHeight="1" thickBot="1">
      <c r="A38" s="93"/>
      <c r="B38" s="74" t="s">
        <v>36</v>
      </c>
      <c r="C38" s="75"/>
      <c r="D38" s="76"/>
      <c r="E38" s="77"/>
      <c r="F38" s="16"/>
      <c r="G38" s="6" t="str">
        <f t="shared" ca="1" si="5"/>
        <v/>
      </c>
      <c r="H38" s="78"/>
      <c r="I38" s="78"/>
      <c r="J38" s="78"/>
      <c r="K38" s="78"/>
      <c r="L38" s="78"/>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row>
    <row r="39" spans="1:63" ht="30" customHeight="1">
      <c r="F39" s="3"/>
    </row>
    <row r="40" spans="1:63" ht="30" customHeight="1">
      <c r="C40" s="15"/>
      <c r="E40" s="14"/>
    </row>
    <row r="41" spans="1:63" ht="30" customHeight="1">
      <c r="C41" s="4"/>
    </row>
  </sheetData>
  <mergeCells count="17">
    <mergeCell ref="A5:A6"/>
    <mergeCell ref="B5:B6"/>
    <mergeCell ref="C5:C6"/>
    <mergeCell ref="D5:D6"/>
    <mergeCell ref="E5:E6"/>
    <mergeCell ref="P2:Y2"/>
    <mergeCell ref="P1:Y1"/>
    <mergeCell ref="H1:N1"/>
    <mergeCell ref="H2:N2"/>
    <mergeCell ref="BE4:BK4"/>
    <mergeCell ref="H4:N4"/>
    <mergeCell ref="O4:U4"/>
    <mergeCell ref="V4:AB4"/>
    <mergeCell ref="AC4:AI4"/>
    <mergeCell ref="AJ4:AP4"/>
    <mergeCell ref="AQ4:AW4"/>
    <mergeCell ref="AX4:BD4"/>
  </mergeCells>
  <conditionalFormatting sqref="H4:BK36">
    <cfRule type="expression" dxfId="8" priority="1">
      <formula>AND(TODAY()&gt;=H$5, TODAY()&lt;I$5)</formula>
    </cfRule>
  </conditionalFormatting>
  <conditionalFormatting sqref="H9:BK10">
    <cfRule type="expression" dxfId="7" priority="6">
      <formula>AND(task_start&lt;=H$5,ROUNDDOWN((task_end-task_start+1)*task_progress,0)+task_start-1&gt;=H$5)</formula>
    </cfRule>
    <cfRule type="expression" dxfId="6" priority="7" stopIfTrue="1">
      <formula>AND(task_end&gt;=H$5,task_start&lt;I$5)</formula>
    </cfRule>
  </conditionalFormatting>
  <conditionalFormatting sqref="H12:BK24">
    <cfRule type="expression" dxfId="5" priority="4">
      <formula>AND(task_start&lt;=H$5,ROUNDDOWN((task_end-task_start+1)*task_progress,0)+task_start-1&gt;=H$5)</formula>
    </cfRule>
    <cfRule type="expression" dxfId="4" priority="5" stopIfTrue="1">
      <formula>AND(task_end&gt;=H$5,task_start&lt;I$5)</formula>
    </cfRule>
  </conditionalFormatting>
  <conditionalFormatting sqref="H26:BK30">
    <cfRule type="expression" dxfId="3" priority="2">
      <formula>AND(task_start&lt;=H$5,ROUNDDOWN((task_end-task_start+1)*task_progress,0)+task_start-1&gt;=H$5)</formula>
    </cfRule>
    <cfRule type="expression" dxfId="2" priority="3" stopIfTrue="1">
      <formula>AND(task_end&gt;=H$5,task_start&lt;I$5)</formula>
    </cfRule>
  </conditionalFormatting>
  <conditionalFormatting sqref="H32:BK36">
    <cfRule type="expression" dxfId="1" priority="36">
      <formula>AND(task_start&lt;=H$5,ROUNDDOWN((task_end-task_start+1)*task_progress,0)+task_start-1&gt;=H$5)</formula>
    </cfRule>
    <cfRule type="expression" dxfId="0" priority="37" stopIfTrue="1">
      <formula>AND(task_end&gt;=H$5,task_start&lt;I$5)</formula>
    </cfRule>
  </conditionalFormatting>
  <dataValidations count="13">
    <dataValidation type="whole" operator="greaterThanOrEqual" allowBlank="1" showInputMessage="1" promptTitle="Display Week" prompt="Changing this number will scroll the Gantt Chart view." sqref="P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1" xr:uid="{4F48FC41-E335-47F1-87AA-3333A52AD81C}"/>
    <dataValidation allowBlank="1" showInputMessage="1" showErrorMessage="1" prompt="Phase 3's sample block starts in cell B20." sqref="A25" xr:uid="{956902D1-D3B5-416D-BB69-9362D193BC0A}"/>
    <dataValidation allowBlank="1" showInputMessage="1" showErrorMessage="1" prompt="Phase 4's sample block starts in cell B26." sqref="A31"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8"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7" zoomScaleNormal="100" workbookViewId="0"/>
  </sheetViews>
  <sheetFormatPr defaultColWidth="9" defaultRowHeight="12.75"/>
  <cols>
    <col min="1" max="1" width="87" style="7" customWidth="1"/>
    <col min="2" max="16384" width="9" style="1"/>
  </cols>
  <sheetData>
    <row r="1" spans="1:2" ht="46.5" customHeight="1"/>
    <row r="2" spans="1:2" s="9" customFormat="1" ht="15.75">
      <c r="A2" s="82" t="s">
        <v>4</v>
      </c>
      <c r="B2" s="8"/>
    </row>
    <row r="3" spans="1:2" s="11" customFormat="1" ht="27" customHeight="1">
      <c r="A3" s="83"/>
      <c r="B3" s="12"/>
    </row>
    <row r="4" spans="1:2" s="10" customFormat="1" ht="31.5">
      <c r="A4" s="84" t="s">
        <v>37</v>
      </c>
    </row>
    <row r="5" spans="1:2" ht="74.25" customHeight="1">
      <c r="A5" s="85" t="s">
        <v>38</v>
      </c>
    </row>
    <row r="6" spans="1:2" ht="26.25" customHeight="1">
      <c r="A6" s="84" t="s">
        <v>39</v>
      </c>
    </row>
    <row r="7" spans="1:2" s="7" customFormat="1" ht="205.15" customHeight="1">
      <c r="A7" s="86" t="s">
        <v>40</v>
      </c>
    </row>
    <row r="8" spans="1:2" s="10" customFormat="1" ht="31.5">
      <c r="A8" s="84" t="s">
        <v>41</v>
      </c>
    </row>
    <row r="9" spans="1:2" ht="57">
      <c r="A9" s="85" t="s">
        <v>42</v>
      </c>
    </row>
    <row r="10" spans="1:2" s="7" customFormat="1" ht="28.15" customHeight="1">
      <c r="A10" s="87" t="s">
        <v>43</v>
      </c>
    </row>
    <row r="11" spans="1:2" s="10" customFormat="1" ht="31.5">
      <c r="A11" s="84" t="s">
        <v>44</v>
      </c>
    </row>
    <row r="12" spans="1:2" ht="28.5">
      <c r="A12" s="85" t="s">
        <v>45</v>
      </c>
    </row>
    <row r="13" spans="1:2" s="7" customFormat="1" ht="28.15" customHeight="1">
      <c r="A13" s="87" t="s">
        <v>46</v>
      </c>
    </row>
    <row r="14" spans="1:2" s="10" customFormat="1" ht="31.5">
      <c r="A14" s="84" t="s">
        <v>47</v>
      </c>
    </row>
    <row r="15" spans="1:2" ht="75" customHeight="1">
      <c r="A15" s="85" t="s">
        <v>48</v>
      </c>
    </row>
    <row r="16" spans="1:2" ht="71.25">
      <c r="A16" s="85" t="s">
        <v>49</v>
      </c>
    </row>
    <row r="17" spans="1:1">
      <c r="A17" s="88"/>
    </row>
    <row r="18" spans="1:1">
      <c r="A18" s="88"/>
    </row>
    <row r="19" spans="1:1">
      <c r="A19" s="88"/>
    </row>
    <row r="20" spans="1:1">
      <c r="A20" s="88"/>
    </row>
    <row r="21" spans="1:1">
      <c r="A21" s="88"/>
    </row>
    <row r="22" spans="1:1">
      <c r="A22" s="88"/>
    </row>
    <row r="23" spans="1:1">
      <c r="A23" s="88"/>
    </row>
    <row r="24" spans="1:1">
      <c r="A24" s="88"/>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file>

<file path=customXml/itemProps2.xml><?xml version="1.0" encoding="utf-8"?>
<ds:datastoreItem xmlns:ds="http://schemas.openxmlformats.org/officeDocument/2006/customXml" ds:itemID="{A09426A3-87E9-4865-8A6C-3456B026AE03}"/>
</file>

<file path=customXml/itemProps3.xml><?xml version="1.0" encoding="utf-8"?>
<ds:datastoreItem xmlns:ds="http://schemas.openxmlformats.org/officeDocument/2006/customXml" ds:itemID="{97245281-08F3-4104-84BD-39F3D8CFB195}"/>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Ames</dc:creator>
  <cp:keywords/>
  <dc:description/>
  <cp:lastModifiedBy/>
  <cp:revision/>
  <dcterms:created xsi:type="dcterms:W3CDTF">2022-03-11T22:41:12Z</dcterms:created>
  <dcterms:modified xsi:type="dcterms:W3CDTF">2026-02-22T21:51:29Z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