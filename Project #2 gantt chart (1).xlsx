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logan\Downloads\"/>
    </mc:Choice>
  </mc:AlternateContent>
  <xr:revisionPtr revIDLastSave="0" documentId="13_ncr:1_{6C537CEE-9112-4EF3-9EC7-EC53F9135D1E}" xr6:coauthVersionLast="47" xr6:coauthVersionMax="47" xr10:uidLastSave="{00000000-0000-0000-0000-000000000000}"/>
  <bookViews>
    <workbookView xWindow="-110" yWindow="-110" windowWidth="19420" windowHeight="1150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1" l="1"/>
  <c r="H5" i="11" l="1"/>
  <c r="H4" i="11" s="1"/>
  <c r="G38" i="11"/>
  <c r="G37" i="11"/>
  <c r="G31" i="11"/>
  <c r="G25" i="11"/>
  <c r="G11" i="11"/>
  <c r="G8" i="11"/>
  <c r="G36" i="11" l="1"/>
  <c r="G9" i="11"/>
  <c r="H6" i="11"/>
  <c r="G27" i="11" l="1"/>
  <c r="G26" i="11"/>
  <c r="G35" i="11"/>
  <c r="G32" i="11"/>
  <c r="G10" i="11"/>
  <c r="G28" i="11"/>
  <c r="G12" i="11"/>
  <c r="I5" i="11"/>
  <c r="J5" i="11" s="1"/>
  <c r="K5" i="11" s="1"/>
  <c r="L5" i="11" s="1"/>
  <c r="M5" i="11" s="1"/>
  <c r="N5" i="11" s="1"/>
  <c r="O5" i="11" s="1"/>
  <c r="G33" i="11" l="1"/>
  <c r="G34" i="11"/>
  <c r="G29" i="11"/>
  <c r="G15" i="11"/>
  <c r="O4" i="11"/>
  <c r="P5" i="11"/>
  <c r="Q5" i="11" s="1"/>
  <c r="R5" i="11" s="1"/>
  <c r="S5" i="11" s="1"/>
  <c r="T5" i="11" s="1"/>
  <c r="U5" i="11" s="1"/>
  <c r="V5" i="11" s="1"/>
  <c r="I6" i="11"/>
  <c r="E24" i="11" l="1"/>
  <c r="G24" i="11" s="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sharedStrings.xml><?xml version="1.0" encoding="utf-8"?>
<sst xmlns="http://schemas.openxmlformats.org/spreadsheetml/2006/main" count="66" uniqueCount="50">
  <si>
    <t>Project #2</t>
  </si>
  <si>
    <t>Project start:</t>
  </si>
  <si>
    <t>Group J</t>
  </si>
  <si>
    <t>Display week:</t>
  </si>
  <si>
    <t>SIMPLE GANTT CHART by Vertex42.com</t>
  </si>
  <si>
    <t>https://www.vertex42.com/ExcelTemplates/simple-gantt-chart.html</t>
  </si>
  <si>
    <t>TASK</t>
  </si>
  <si>
    <t>ASSIGNED TO</t>
  </si>
  <si>
    <t>START</t>
  </si>
  <si>
    <t>END</t>
  </si>
  <si>
    <t xml:space="preserve">Do not delete this row. This row is hidden to preserve a formula that is used to highlight the current day within the project schedule. </t>
  </si>
  <si>
    <t>Project Management</t>
  </si>
  <si>
    <t>Gantt chart</t>
  </si>
  <si>
    <t>David Ames</t>
  </si>
  <si>
    <t>SOW</t>
  </si>
  <si>
    <t>Harrison Drake</t>
  </si>
  <si>
    <t>Technical Implementation</t>
  </si>
  <si>
    <t>Mix Scenarios Research</t>
  </si>
  <si>
    <t>Logan Baardson</t>
  </si>
  <si>
    <t>Mix Documentation</t>
  </si>
  <si>
    <t>Python Code</t>
  </si>
  <si>
    <t>Cement Vol</t>
  </si>
  <si>
    <t>Fly Ash Vol</t>
  </si>
  <si>
    <t>Silica Fume Vol</t>
  </si>
  <si>
    <t>Other SCM Vol</t>
  </si>
  <si>
    <t>Air Vol</t>
  </si>
  <si>
    <t>Water Vol</t>
  </si>
  <si>
    <t>Total Agggregate Vol</t>
  </si>
  <si>
    <t>Fine Aggregate Weight</t>
  </si>
  <si>
    <t>Other Aggergate Weight</t>
  </si>
  <si>
    <t>Annotated Code Document</t>
  </si>
  <si>
    <t>Written Report</t>
  </si>
  <si>
    <t>Introduction</t>
  </si>
  <si>
    <t>Methods</t>
  </si>
  <si>
    <t>Results &amp; Discussion</t>
  </si>
  <si>
    <t>References</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</si>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</sst>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8">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0" applyFont="1" applyFill="1" applyBorder="1" applyAlignment="1">
      <alignment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1" applyFont="1" applyFill="1" applyBorder="1">
      <alignment horizontal="left" vertical="center" indent="2"/>
    </xf>
    <xf numFmtId="0" fontId="19" fillId="3" borderId="6" xfId="10" applyFont="1" applyFill="1" applyBorder="1" applyAlignment="1">
      <alignment vertical="center"/>
    </xf>
    <xf numFmtId="164" fontId="19" fillId="3" borderId="6" xfId="9" applyFont="1" applyFill="1" applyBorder="1">
      <alignment horizontal="center" vertical="center"/>
    </xf>
    <xf numFmtId="0" fontId="4" fillId="0" borderId="4" xfId="0" applyFont="1" applyBorder="1" applyAlignment="1">
      <alignment vertical="center"/>
    </xf>
    <xf numFmtId="0" fontId="19" fillId="3" borderId="7" xfId="11" applyFont="1" applyFill="1" applyBorder="1">
      <alignment horizontal="left" vertical="center" indent="2"/>
    </xf>
    <xf numFmtId="0" fontId="19" fillId="3" borderId="7" xfId="10" applyFont="1" applyFill="1" applyBorder="1" applyAlignment="1">
      <alignment vertical="center"/>
    </xf>
    <xf numFmtId="164" fontId="19" fillId="3" borderId="7" xfId="9"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0" applyFont="1" applyFill="1" applyBorder="1" applyAlignment="1">
      <alignment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lignment horizontal="left" vertical="center" indent="2"/>
    </xf>
    <xf numFmtId="0" fontId="19" fillId="4" borderId="5" xfId="10" applyFont="1" applyFill="1" applyBorder="1" applyAlignment="1">
      <alignment vertical="center"/>
    </xf>
    <xf numFmtId="164" fontId="19" fillId="4" borderId="5" xfId="9" applyFont="1" applyFill="1" applyBorder="1">
      <alignment horizontal="center" vertical="center"/>
    </xf>
    <xf numFmtId="0" fontId="23" fillId="8" borderId="0" xfId="0" applyFont="1" applyFill="1" applyAlignment="1">
      <alignment horizontal="left" vertical="center" indent="1"/>
    </xf>
    <xf numFmtId="0" fontId="19" fillId="8" borderId="0" xfId="10" applyFont="1" applyFill="1" applyBorder="1" applyAlignment="1">
      <alignment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1" applyFont="1" applyFill="1" applyBorder="1">
      <alignment horizontal="left" vertical="center" indent="2"/>
    </xf>
    <xf numFmtId="0" fontId="19" fillId="5" borderId="8" xfId="10" applyFont="1" applyFill="1" applyBorder="1" applyAlignment="1">
      <alignment vertical="center"/>
    </xf>
    <xf numFmtId="164" fontId="19" fillId="5" borderId="8" xfId="9" applyFont="1" applyFill="1" applyBorder="1">
      <alignment horizontal="center" vertical="center"/>
    </xf>
    <xf numFmtId="0" fontId="23" fillId="9" borderId="0" xfId="0" applyFont="1" applyFill="1" applyAlignment="1">
      <alignment horizontal="left" vertical="center" indent="1"/>
    </xf>
    <xf numFmtId="0" fontId="4" fillId="0" borderId="10" xfId="0" applyFont="1" applyBorder="1" applyAlignment="1">
      <alignment vertical="center"/>
    </xf>
    <xf numFmtId="0" fontId="19" fillId="10" borderId="9" xfId="11" applyFont="1" applyFill="1" applyBorder="1">
      <alignment horizontal="left" vertical="center" indent="2"/>
    </xf>
    <xf numFmtId="0" fontId="19" fillId="10" borderId="9" xfId="10" applyFont="1" applyFill="1" applyBorder="1" applyAlignment="1">
      <alignment vertical="center"/>
    </xf>
    <xf numFmtId="164" fontId="19" fillId="10" borderId="9" xfId="9" applyFont="1" applyFill="1" applyBorder="1">
      <alignment horizontal="center" vertical="center"/>
    </xf>
    <xf numFmtId="0" fontId="19" fillId="0" borderId="0" xfId="11" applyFont="1" applyBorder="1">
      <alignment horizontal="left" vertical="center" indent="2"/>
    </xf>
    <xf numFmtId="0" fontId="19" fillId="0" borderId="0" xfId="10" applyFont="1" applyBorder="1" applyAlignment="1">
      <alignment vertical="center"/>
    </xf>
    <xf numFmtId="164" fontId="19" fillId="0" borderId="0" xfId="9"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5" applyFont="1" applyAlignment="1">
      <alignment horizontal="left" vertical="center" indent="1"/>
    </xf>
    <xf numFmtId="0" fontId="26" fillId="0" borderId="0" xfId="6" applyFont="1" applyAlignment="1">
      <alignment horizontal="left" vertical="center" indent="1"/>
    </xf>
    <xf numFmtId="0" fontId="29" fillId="0" borderId="0" xfId="4"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9" fillId="5" borderId="0" xfId="11" applyFont="1" applyFill="1" applyBorder="1">
      <alignment horizontal="left" vertical="center" indent="2"/>
    </xf>
    <xf numFmtId="0" fontId="19" fillId="5" borderId="0" xfId="10" applyFont="1" applyFill="1" applyBorder="1" applyAlignment="1">
      <alignment vertical="center"/>
    </xf>
    <xf numFmtId="164" fontId="19" fillId="5" borderId="0" xfId="9" applyFont="1" applyFill="1" applyBorder="1">
      <alignment horizontal="center" vertical="center"/>
    </xf>
    <xf numFmtId="0" fontId="13" fillId="0" borderId="0" xfId="2" applyAlignment="1">
      <alignment wrapText="1"/>
    </xf>
    <xf numFmtId="0" fontId="13" fillId="0" borderId="0" xfId="2"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0" fontId="26" fillId="0" borderId="0" xfId="7"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14" fontId="27" fillId="0" borderId="0" xfId="8" applyNumberFormat="1" applyFont="1" applyBorder="1" applyAlignment="1">
      <alignment horizontal="left"/>
    </xf>
    <xf numFmtId="14" fontId="28" fillId="0" borderId="0" xfId="0" applyNumberFormat="1" applyFont="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41"/>
  <sheetViews>
    <sheetView showGridLines="0" tabSelected="1" showRuler="0" zoomScaleNormal="100" zoomScalePageLayoutView="70" workbookViewId="0">
      <selection activeCell="P2" sqref="P2:Y2"/>
    </sheetView>
  </sheetViews>
  <sheetFormatPr defaultColWidth="8.75" defaultRowHeight="30" customHeight="1" x14ac:dyDescent="0.2"/>
  <cols>
    <col min="1" max="1" width="2.75" style="13" customWidth="1"/>
    <col min="2" max="2" width="23.25" customWidth="1"/>
    <col min="3" max="3" width="16.75" customWidth="1"/>
    <col min="4" max="4" width="10.75" style="2" customWidth="1"/>
    <col min="5" max="5" width="10.75" customWidth="1"/>
    <col min="6" max="6" width="2.75" customWidth="1"/>
    <col min="7" max="7" width="6" hidden="1" customWidth="1"/>
    <col min="8" max="64" width="2.75" customWidth="1"/>
  </cols>
  <sheetData>
    <row r="1" spans="1:63" ht="90" customHeight="1" x14ac:dyDescent="1.1000000000000001">
      <c r="A1" s="92"/>
      <c r="B1" s="81" t="s">
        <v>0</v>
      </c>
      <c r="C1" s="17"/>
      <c r="D1" s="18"/>
      <c r="E1" s="19"/>
      <c r="G1" s="1"/>
      <c r="H1" s="101" t="s">
        <v>1</v>
      </c>
      <c r="I1" s="102"/>
      <c r="J1" s="102"/>
      <c r="K1" s="102"/>
      <c r="L1" s="102"/>
      <c r="M1" s="102"/>
      <c r="N1" s="102"/>
      <c r="O1" s="22"/>
      <c r="P1" s="106">
        <v>46064</v>
      </c>
      <c r="Q1" s="107"/>
      <c r="R1" s="107"/>
      <c r="S1" s="107"/>
      <c r="T1" s="107"/>
      <c r="U1" s="107"/>
      <c r="V1" s="107"/>
      <c r="W1" s="107"/>
      <c r="X1" s="107"/>
      <c r="Y1" s="107"/>
    </row>
    <row r="2" spans="1:63" ht="30" customHeight="1" x14ac:dyDescent="0.5">
      <c r="B2" s="79" t="s">
        <v>2</v>
      </c>
      <c r="C2" s="80"/>
      <c r="D2" s="21"/>
      <c r="E2" s="20"/>
      <c r="H2" s="101" t="s">
        <v>3</v>
      </c>
      <c r="I2" s="102"/>
      <c r="J2" s="102"/>
      <c r="K2" s="102"/>
      <c r="L2" s="102"/>
      <c r="M2" s="102"/>
      <c r="N2" s="102"/>
      <c r="O2" s="22"/>
      <c r="P2" s="99">
        <v>1</v>
      </c>
      <c r="Q2" s="100"/>
      <c r="R2" s="100"/>
      <c r="S2" s="100"/>
      <c r="T2" s="100"/>
      <c r="U2" s="100"/>
      <c r="V2" s="100"/>
      <c r="W2" s="100"/>
      <c r="X2" s="100"/>
      <c r="Y2" s="100"/>
    </row>
    <row r="3" spans="1:63" s="24" customFormat="1" ht="30" customHeight="1" x14ac:dyDescent="0.25">
      <c r="A3" s="13"/>
      <c r="B3" s="23" t="s">
        <v>4</v>
      </c>
      <c r="D3" s="25"/>
    </row>
    <row r="4" spans="1:63" s="24" customFormat="1" ht="30" customHeight="1" x14ac:dyDescent="0.2">
      <c r="A4" s="92"/>
      <c r="B4" s="26" t="s">
        <v>5</v>
      </c>
      <c r="D4" s="27"/>
      <c r="H4" s="105">
        <f>H5</f>
        <v>46062</v>
      </c>
      <c r="I4" s="103"/>
      <c r="J4" s="103"/>
      <c r="K4" s="103"/>
      <c r="L4" s="103"/>
      <c r="M4" s="103"/>
      <c r="N4" s="103"/>
      <c r="O4" s="103">
        <f>O5</f>
        <v>46069</v>
      </c>
      <c r="P4" s="103"/>
      <c r="Q4" s="103"/>
      <c r="R4" s="103"/>
      <c r="S4" s="103"/>
      <c r="T4" s="103"/>
      <c r="U4" s="103"/>
      <c r="V4" s="103">
        <f>V5</f>
        <v>46076</v>
      </c>
      <c r="W4" s="103"/>
      <c r="X4" s="103"/>
      <c r="Y4" s="103"/>
      <c r="Z4" s="103"/>
      <c r="AA4" s="103"/>
      <c r="AB4" s="103"/>
      <c r="AC4" s="103">
        <f>AC5</f>
        <v>46083</v>
      </c>
      <c r="AD4" s="103"/>
      <c r="AE4" s="103"/>
      <c r="AF4" s="103"/>
      <c r="AG4" s="103"/>
      <c r="AH4" s="103"/>
      <c r="AI4" s="103"/>
      <c r="AJ4" s="103">
        <f>AJ5</f>
        <v>46090</v>
      </c>
      <c r="AK4" s="103"/>
      <c r="AL4" s="103"/>
      <c r="AM4" s="103"/>
      <c r="AN4" s="103"/>
      <c r="AO4" s="103"/>
      <c r="AP4" s="103"/>
      <c r="AQ4" s="103">
        <f>AQ5</f>
        <v>46097</v>
      </c>
      <c r="AR4" s="103"/>
      <c r="AS4" s="103"/>
      <c r="AT4" s="103"/>
      <c r="AU4" s="103"/>
      <c r="AV4" s="103"/>
      <c r="AW4" s="103"/>
      <c r="AX4" s="103">
        <f>AX5</f>
        <v>46104</v>
      </c>
      <c r="AY4" s="103"/>
      <c r="AZ4" s="103"/>
      <c r="BA4" s="103"/>
      <c r="BB4" s="103"/>
      <c r="BC4" s="103"/>
      <c r="BD4" s="103"/>
      <c r="BE4" s="103">
        <f>BE5</f>
        <v>46111</v>
      </c>
      <c r="BF4" s="103"/>
      <c r="BG4" s="103"/>
      <c r="BH4" s="103"/>
      <c r="BI4" s="103"/>
      <c r="BJ4" s="103"/>
      <c r="BK4" s="104"/>
    </row>
    <row r="5" spans="1:63" s="24" customFormat="1" ht="15" customHeight="1" x14ac:dyDescent="0.2">
      <c r="A5" s="93"/>
      <c r="B5" s="94" t="s">
        <v>6</v>
      </c>
      <c r="C5" s="96" t="s">
        <v>7</v>
      </c>
      <c r="D5" s="98" t="s">
        <v>8</v>
      </c>
      <c r="E5" s="98" t="s">
        <v>9</v>
      </c>
      <c r="H5" s="28">
        <f>Project_Start-WEEKDAY(Project_Start,1)+2+7*(Display_Week-1)</f>
        <v>46062</v>
      </c>
      <c r="I5" s="28">
        <f>H5+1</f>
        <v>46063</v>
      </c>
      <c r="J5" s="28">
        <f t="shared" ref="J5:AW5" si="0">I5+1</f>
        <v>46064</v>
      </c>
      <c r="K5" s="28">
        <f t="shared" si="0"/>
        <v>46065</v>
      </c>
      <c r="L5" s="28">
        <f t="shared" si="0"/>
        <v>46066</v>
      </c>
      <c r="M5" s="28">
        <f t="shared" si="0"/>
        <v>46067</v>
      </c>
      <c r="N5" s="29">
        <f t="shared" si="0"/>
        <v>46068</v>
      </c>
      <c r="O5" s="30">
        <f>N5+1</f>
        <v>46069</v>
      </c>
      <c r="P5" s="28">
        <f>O5+1</f>
        <v>46070</v>
      </c>
      <c r="Q5" s="28">
        <f t="shared" si="0"/>
        <v>46071</v>
      </c>
      <c r="R5" s="28">
        <f t="shared" si="0"/>
        <v>46072</v>
      </c>
      <c r="S5" s="28">
        <f t="shared" si="0"/>
        <v>46073</v>
      </c>
      <c r="T5" s="28">
        <f t="shared" si="0"/>
        <v>46074</v>
      </c>
      <c r="U5" s="29">
        <f t="shared" si="0"/>
        <v>46075</v>
      </c>
      <c r="V5" s="30">
        <f>U5+1</f>
        <v>46076</v>
      </c>
      <c r="W5" s="28">
        <f>V5+1</f>
        <v>46077</v>
      </c>
      <c r="X5" s="28">
        <f t="shared" si="0"/>
        <v>46078</v>
      </c>
      <c r="Y5" s="28">
        <f t="shared" si="0"/>
        <v>46079</v>
      </c>
      <c r="Z5" s="28">
        <f t="shared" si="0"/>
        <v>46080</v>
      </c>
      <c r="AA5" s="28">
        <f t="shared" si="0"/>
        <v>46081</v>
      </c>
      <c r="AB5" s="29">
        <f t="shared" si="0"/>
        <v>46082</v>
      </c>
      <c r="AC5" s="30">
        <f>AB5+1</f>
        <v>46083</v>
      </c>
      <c r="AD5" s="28">
        <f>AC5+1</f>
        <v>46084</v>
      </c>
      <c r="AE5" s="28">
        <f t="shared" si="0"/>
        <v>46085</v>
      </c>
      <c r="AF5" s="28">
        <f t="shared" si="0"/>
        <v>46086</v>
      </c>
      <c r="AG5" s="28">
        <f t="shared" si="0"/>
        <v>46087</v>
      </c>
      <c r="AH5" s="28">
        <f t="shared" si="0"/>
        <v>46088</v>
      </c>
      <c r="AI5" s="29">
        <f t="shared" si="0"/>
        <v>46089</v>
      </c>
      <c r="AJ5" s="30">
        <f>AI5+1</f>
        <v>46090</v>
      </c>
      <c r="AK5" s="28">
        <f>AJ5+1</f>
        <v>46091</v>
      </c>
      <c r="AL5" s="28">
        <f t="shared" si="0"/>
        <v>46092</v>
      </c>
      <c r="AM5" s="28">
        <f t="shared" si="0"/>
        <v>46093</v>
      </c>
      <c r="AN5" s="28">
        <f t="shared" si="0"/>
        <v>46094</v>
      </c>
      <c r="AO5" s="28">
        <f t="shared" si="0"/>
        <v>46095</v>
      </c>
      <c r="AP5" s="29">
        <f t="shared" si="0"/>
        <v>46096</v>
      </c>
      <c r="AQ5" s="30">
        <f>AP5+1</f>
        <v>46097</v>
      </c>
      <c r="AR5" s="28">
        <f>AQ5+1</f>
        <v>46098</v>
      </c>
      <c r="AS5" s="28">
        <f t="shared" si="0"/>
        <v>46099</v>
      </c>
      <c r="AT5" s="28">
        <f t="shared" si="0"/>
        <v>46100</v>
      </c>
      <c r="AU5" s="28">
        <f t="shared" si="0"/>
        <v>46101</v>
      </c>
      <c r="AV5" s="28">
        <f t="shared" si="0"/>
        <v>46102</v>
      </c>
      <c r="AW5" s="29">
        <f t="shared" si="0"/>
        <v>46103</v>
      </c>
      <c r="AX5" s="30">
        <f>AW5+1</f>
        <v>46104</v>
      </c>
      <c r="AY5" s="28">
        <f>AX5+1</f>
        <v>46105</v>
      </c>
      <c r="AZ5" s="28">
        <f t="shared" ref="AZ5:BD5" si="1">AY5+1</f>
        <v>46106</v>
      </c>
      <c r="BA5" s="28">
        <f t="shared" si="1"/>
        <v>46107</v>
      </c>
      <c r="BB5" s="28">
        <f t="shared" si="1"/>
        <v>46108</v>
      </c>
      <c r="BC5" s="28">
        <f t="shared" si="1"/>
        <v>46109</v>
      </c>
      <c r="BD5" s="29">
        <f t="shared" si="1"/>
        <v>46110</v>
      </c>
      <c r="BE5" s="30">
        <f>BD5+1</f>
        <v>46111</v>
      </c>
      <c r="BF5" s="28">
        <f>BE5+1</f>
        <v>46112</v>
      </c>
      <c r="BG5" s="28">
        <f t="shared" ref="BG5:BK5" si="2">BF5+1</f>
        <v>46113</v>
      </c>
      <c r="BH5" s="28">
        <f t="shared" si="2"/>
        <v>46114</v>
      </c>
      <c r="BI5" s="28">
        <f t="shared" si="2"/>
        <v>46115</v>
      </c>
      <c r="BJ5" s="28">
        <f t="shared" si="2"/>
        <v>46116</v>
      </c>
      <c r="BK5" s="28">
        <f t="shared" si="2"/>
        <v>46117</v>
      </c>
    </row>
    <row r="6" spans="1:63" s="24" customFormat="1" ht="15" customHeight="1" thickBot="1" x14ac:dyDescent="0.25">
      <c r="A6" s="93"/>
      <c r="B6" s="95"/>
      <c r="C6" s="97"/>
      <c r="D6" s="97"/>
      <c r="E6" s="97"/>
      <c r="H6" s="31" t="str">
        <f t="shared" ref="H6:AM6" si="3">LEFT(TEXT(H5,"ddd"),1)</f>
        <v>M</v>
      </c>
      <c r="I6" s="32" t="str">
        <f t="shared" si="3"/>
        <v>T</v>
      </c>
      <c r="J6" s="32" t="str">
        <f t="shared" si="3"/>
        <v>W</v>
      </c>
      <c r="K6" s="32" t="str">
        <f t="shared" si="3"/>
        <v>T</v>
      </c>
      <c r="L6" s="32" t="str">
        <f t="shared" si="3"/>
        <v>F</v>
      </c>
      <c r="M6" s="32" t="str">
        <f t="shared" si="3"/>
        <v>S</v>
      </c>
      <c r="N6" s="32" t="str">
        <f t="shared" si="3"/>
        <v>S</v>
      </c>
      <c r="O6" s="32" t="str">
        <f t="shared" si="3"/>
        <v>M</v>
      </c>
      <c r="P6" s="32" t="str">
        <f t="shared" si="3"/>
        <v>T</v>
      </c>
      <c r="Q6" s="32" t="str">
        <f t="shared" si="3"/>
        <v>W</v>
      </c>
      <c r="R6" s="32" t="str">
        <f t="shared" si="3"/>
        <v>T</v>
      </c>
      <c r="S6" s="32" t="str">
        <f t="shared" si="3"/>
        <v>F</v>
      </c>
      <c r="T6" s="32" t="str">
        <f t="shared" si="3"/>
        <v>S</v>
      </c>
      <c r="U6" s="32" t="str">
        <f t="shared" si="3"/>
        <v>S</v>
      </c>
      <c r="V6" s="32" t="str">
        <f t="shared" si="3"/>
        <v>M</v>
      </c>
      <c r="W6" s="32" t="str">
        <f t="shared" si="3"/>
        <v>T</v>
      </c>
      <c r="X6" s="32" t="str">
        <f t="shared" si="3"/>
        <v>W</v>
      </c>
      <c r="Y6" s="32" t="str">
        <f t="shared" si="3"/>
        <v>T</v>
      </c>
      <c r="Z6" s="32" t="str">
        <f t="shared" si="3"/>
        <v>F</v>
      </c>
      <c r="AA6" s="32" t="str">
        <f t="shared" si="3"/>
        <v>S</v>
      </c>
      <c r="AB6" s="32" t="str">
        <f t="shared" si="3"/>
        <v>S</v>
      </c>
      <c r="AC6" s="32" t="str">
        <f t="shared" si="3"/>
        <v>M</v>
      </c>
      <c r="AD6" s="32" t="str">
        <f t="shared" si="3"/>
        <v>T</v>
      </c>
      <c r="AE6" s="32" t="str">
        <f t="shared" si="3"/>
        <v>W</v>
      </c>
      <c r="AF6" s="32" t="str">
        <f t="shared" si="3"/>
        <v>T</v>
      </c>
      <c r="AG6" s="32" t="str">
        <f t="shared" si="3"/>
        <v>F</v>
      </c>
      <c r="AH6" s="32" t="str">
        <f t="shared" si="3"/>
        <v>S</v>
      </c>
      <c r="AI6" s="32" t="str">
        <f t="shared" si="3"/>
        <v>S</v>
      </c>
      <c r="AJ6" s="32" t="str">
        <f t="shared" si="3"/>
        <v>M</v>
      </c>
      <c r="AK6" s="32" t="str">
        <f t="shared" si="3"/>
        <v>T</v>
      </c>
      <c r="AL6" s="32" t="str">
        <f t="shared" si="3"/>
        <v>W</v>
      </c>
      <c r="AM6" s="32" t="str">
        <f t="shared" si="3"/>
        <v>T</v>
      </c>
      <c r="AN6" s="32" t="str">
        <f t="shared" ref="AN6:BK6" si="4">LEFT(TEXT(AN5,"ddd"),1)</f>
        <v>F</v>
      </c>
      <c r="AO6" s="32" t="str">
        <f t="shared" si="4"/>
        <v>S</v>
      </c>
      <c r="AP6" s="32" t="str">
        <f t="shared" si="4"/>
        <v>S</v>
      </c>
      <c r="AQ6" s="32" t="str">
        <f t="shared" si="4"/>
        <v>M</v>
      </c>
      <c r="AR6" s="32" t="str">
        <f t="shared" si="4"/>
        <v>T</v>
      </c>
      <c r="AS6" s="32" t="str">
        <f t="shared" si="4"/>
        <v>W</v>
      </c>
      <c r="AT6" s="32" t="str">
        <f t="shared" si="4"/>
        <v>T</v>
      </c>
      <c r="AU6" s="32" t="str">
        <f t="shared" si="4"/>
        <v>F</v>
      </c>
      <c r="AV6" s="32" t="str">
        <f t="shared" si="4"/>
        <v>S</v>
      </c>
      <c r="AW6" s="32" t="str">
        <f t="shared" si="4"/>
        <v>S</v>
      </c>
      <c r="AX6" s="32" t="str">
        <f t="shared" si="4"/>
        <v>M</v>
      </c>
      <c r="AY6" s="32" t="str">
        <f t="shared" si="4"/>
        <v>T</v>
      </c>
      <c r="AZ6" s="32" t="str">
        <f t="shared" si="4"/>
        <v>W</v>
      </c>
      <c r="BA6" s="32" t="str">
        <f t="shared" si="4"/>
        <v>T</v>
      </c>
      <c r="BB6" s="32" t="str">
        <f t="shared" si="4"/>
        <v>F</v>
      </c>
      <c r="BC6" s="32" t="str">
        <f t="shared" si="4"/>
        <v>S</v>
      </c>
      <c r="BD6" s="32" t="str">
        <f t="shared" si="4"/>
        <v>S</v>
      </c>
      <c r="BE6" s="32" t="str">
        <f t="shared" si="4"/>
        <v>M</v>
      </c>
      <c r="BF6" s="32" t="str">
        <f t="shared" si="4"/>
        <v>T</v>
      </c>
      <c r="BG6" s="32" t="str">
        <f t="shared" si="4"/>
        <v>W</v>
      </c>
      <c r="BH6" s="32" t="str">
        <f t="shared" si="4"/>
        <v>T</v>
      </c>
      <c r="BI6" s="32" t="str">
        <f t="shared" si="4"/>
        <v>F</v>
      </c>
      <c r="BJ6" s="32" t="str">
        <f t="shared" si="4"/>
        <v>S</v>
      </c>
      <c r="BK6" s="33" t="str">
        <f t="shared" si="4"/>
        <v>S</v>
      </c>
    </row>
    <row r="7" spans="1:63" s="24" customFormat="1" ht="30" hidden="1" customHeight="1" thickBot="1" x14ac:dyDescent="0.25">
      <c r="A7" s="13" t="s">
        <v>10</v>
      </c>
      <c r="B7" s="34"/>
      <c r="C7" s="35"/>
      <c r="D7" s="34"/>
      <c r="E7" s="34"/>
      <c r="G7" s="24" t="str">
        <f>IF(OR(ISBLANK(task_start),ISBLANK(task_end)),"",task_end-task_start+1)</f>
        <v/>
      </c>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row>
    <row r="8" spans="1:63" s="42" customFormat="1" ht="30" customHeight="1" thickBot="1" x14ac:dyDescent="0.25">
      <c r="A8" s="92"/>
      <c r="B8" s="37" t="s">
        <v>11</v>
      </c>
      <c r="C8" s="38"/>
      <c r="D8" s="39"/>
      <c r="E8" s="40"/>
      <c r="F8" s="16"/>
      <c r="G8" s="5" t="str">
        <f t="shared" ref="G8:G38" si="5">IF(OR(ISBLANK(task_start),ISBLANK(task_end)),"",task_end-task_start+1)</f>
        <v/>
      </c>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row>
    <row r="9" spans="1:63" s="42" customFormat="1" ht="30" customHeight="1" thickBot="1" x14ac:dyDescent="0.25">
      <c r="A9" s="92"/>
      <c r="B9" s="43" t="s">
        <v>12</v>
      </c>
      <c r="C9" s="44" t="s">
        <v>13</v>
      </c>
      <c r="D9" s="45">
        <v>46064</v>
      </c>
      <c r="E9" s="45">
        <v>46066</v>
      </c>
      <c r="F9" s="16"/>
      <c r="G9" s="5">
        <f t="shared" si="5"/>
        <v>3</v>
      </c>
      <c r="H9" s="46"/>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row>
    <row r="10" spans="1:63" s="42" customFormat="1" ht="30" customHeight="1" thickBot="1" x14ac:dyDescent="0.25">
      <c r="A10" s="92"/>
      <c r="B10" s="47" t="s">
        <v>14</v>
      </c>
      <c r="C10" s="48" t="s">
        <v>15</v>
      </c>
      <c r="D10" s="49">
        <v>46064</v>
      </c>
      <c r="E10" s="49">
        <v>46068</v>
      </c>
      <c r="F10" s="16"/>
      <c r="G10" s="5">
        <f t="shared" si="5"/>
        <v>5</v>
      </c>
      <c r="H10" s="46"/>
      <c r="I10" s="46"/>
      <c r="J10" s="46"/>
      <c r="K10" s="46"/>
      <c r="L10" s="46"/>
      <c r="M10" s="46"/>
      <c r="N10" s="46"/>
      <c r="O10" s="46"/>
      <c r="P10" s="46"/>
      <c r="Q10" s="46"/>
      <c r="R10" s="46"/>
      <c r="S10" s="46"/>
      <c r="T10" s="50"/>
      <c r="U10" s="50"/>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row>
    <row r="11" spans="1:63" s="42" customFormat="1" ht="30" customHeight="1" thickBot="1" x14ac:dyDescent="0.25">
      <c r="A11" s="92"/>
      <c r="B11" s="51" t="s">
        <v>16</v>
      </c>
      <c r="C11" s="52"/>
      <c r="D11" s="53"/>
      <c r="E11" s="54"/>
      <c r="F11" s="16"/>
      <c r="G11" s="5" t="str">
        <f t="shared" si="5"/>
        <v/>
      </c>
    </row>
    <row r="12" spans="1:63" s="42" customFormat="1" ht="30" customHeight="1" thickBot="1" x14ac:dyDescent="0.25">
      <c r="A12" s="92"/>
      <c r="B12" s="55" t="s">
        <v>17</v>
      </c>
      <c r="C12" s="56" t="s">
        <v>18</v>
      </c>
      <c r="D12" s="57">
        <v>46068</v>
      </c>
      <c r="E12" s="57">
        <v>46073</v>
      </c>
      <c r="F12" s="16"/>
      <c r="G12" s="5">
        <f t="shared" si="5"/>
        <v>6</v>
      </c>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row>
    <row r="13" spans="1:63" s="42" customFormat="1" ht="30" customHeight="1" thickBot="1" x14ac:dyDescent="0.25">
      <c r="A13" s="92"/>
      <c r="B13" s="55" t="s">
        <v>19</v>
      </c>
      <c r="C13" s="56" t="s">
        <v>18</v>
      </c>
      <c r="D13" s="57">
        <v>46068</v>
      </c>
      <c r="E13" s="57">
        <v>46073</v>
      </c>
      <c r="F13" s="16"/>
      <c r="G13" s="5"/>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row>
    <row r="14" spans="1:63" s="42" customFormat="1" ht="30" customHeight="1" thickBot="1" x14ac:dyDescent="0.25">
      <c r="A14" s="92"/>
      <c r="B14" s="55" t="s">
        <v>20</v>
      </c>
      <c r="C14" s="56"/>
      <c r="D14" s="57"/>
      <c r="E14" s="57"/>
      <c r="F14" s="16"/>
      <c r="G14" s="5"/>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row>
    <row r="15" spans="1:63" s="42" customFormat="1" ht="30" customHeight="1" thickBot="1" x14ac:dyDescent="0.25">
      <c r="A15" s="13"/>
      <c r="B15" s="55" t="s">
        <v>21</v>
      </c>
      <c r="C15" s="56" t="s">
        <v>15</v>
      </c>
      <c r="D15" s="57">
        <v>46070</v>
      </c>
      <c r="E15" s="57">
        <v>46073</v>
      </c>
      <c r="F15" s="16"/>
      <c r="G15" s="5">
        <f t="shared" si="5"/>
        <v>4</v>
      </c>
      <c r="H15" s="46"/>
      <c r="I15" s="46"/>
      <c r="J15" s="46"/>
      <c r="K15" s="46"/>
      <c r="L15" s="46"/>
      <c r="M15" s="46"/>
      <c r="N15" s="46"/>
      <c r="O15" s="46"/>
      <c r="P15" s="46"/>
      <c r="Q15" s="46"/>
      <c r="R15" s="46"/>
      <c r="S15" s="46"/>
      <c r="T15" s="50"/>
      <c r="U15" s="50"/>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row>
    <row r="16" spans="1:63" s="42" customFormat="1" ht="30" customHeight="1" thickBot="1" x14ac:dyDescent="0.25">
      <c r="A16" s="13"/>
      <c r="B16" s="55" t="s">
        <v>22</v>
      </c>
      <c r="C16" s="56" t="s">
        <v>15</v>
      </c>
      <c r="D16" s="57">
        <v>46070</v>
      </c>
      <c r="E16" s="57">
        <v>46073</v>
      </c>
      <c r="F16" s="16"/>
      <c r="G16" s="5"/>
      <c r="H16" s="46"/>
      <c r="I16" s="46"/>
      <c r="J16" s="46"/>
      <c r="K16" s="46"/>
      <c r="L16" s="46"/>
      <c r="M16" s="46"/>
      <c r="N16" s="46"/>
      <c r="O16" s="46"/>
      <c r="P16" s="46"/>
      <c r="Q16" s="46"/>
      <c r="R16" s="46"/>
      <c r="S16" s="46"/>
      <c r="T16" s="50"/>
      <c r="U16" s="50"/>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row>
    <row r="17" spans="1:63" s="42" customFormat="1" ht="30" customHeight="1" thickBot="1" x14ac:dyDescent="0.25">
      <c r="A17" s="13"/>
      <c r="B17" s="55" t="s">
        <v>23</v>
      </c>
      <c r="C17" s="56" t="s">
        <v>15</v>
      </c>
      <c r="D17" s="57">
        <v>46070</v>
      </c>
      <c r="E17" s="57">
        <v>46073</v>
      </c>
      <c r="F17" s="16"/>
      <c r="G17" s="5"/>
      <c r="H17" s="46"/>
      <c r="I17" s="46"/>
      <c r="J17" s="46"/>
      <c r="K17" s="46"/>
      <c r="L17" s="46"/>
      <c r="M17" s="46"/>
      <c r="N17" s="46"/>
      <c r="O17" s="46"/>
      <c r="P17" s="46"/>
      <c r="Q17" s="46"/>
      <c r="R17" s="46"/>
      <c r="S17" s="46"/>
      <c r="T17" s="50"/>
      <c r="U17" s="50"/>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row>
    <row r="18" spans="1:63" s="42" customFormat="1" ht="30" customHeight="1" thickBot="1" x14ac:dyDescent="0.25">
      <c r="A18" s="13"/>
      <c r="B18" s="55" t="s">
        <v>24</v>
      </c>
      <c r="C18" s="56" t="s">
        <v>18</v>
      </c>
      <c r="D18" s="57">
        <v>46070</v>
      </c>
      <c r="E18" s="57">
        <v>46073</v>
      </c>
      <c r="F18" s="16"/>
      <c r="G18" s="5"/>
      <c r="H18" s="46"/>
      <c r="I18" s="46"/>
      <c r="J18" s="46"/>
      <c r="K18" s="46"/>
      <c r="L18" s="46"/>
      <c r="M18" s="46"/>
      <c r="N18" s="46"/>
      <c r="O18" s="46"/>
      <c r="P18" s="46"/>
      <c r="Q18" s="46"/>
      <c r="R18" s="46"/>
      <c r="S18" s="46"/>
      <c r="T18" s="50"/>
      <c r="U18" s="50"/>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row>
    <row r="19" spans="1:63" s="42" customFormat="1" ht="30" customHeight="1" thickBot="1" x14ac:dyDescent="0.25">
      <c r="A19" s="13"/>
      <c r="B19" s="55" t="s">
        <v>25</v>
      </c>
      <c r="C19" s="56" t="s">
        <v>18</v>
      </c>
      <c r="D19" s="57">
        <v>46070</v>
      </c>
      <c r="E19" s="57">
        <v>46073</v>
      </c>
      <c r="F19" s="16"/>
      <c r="G19" s="5"/>
      <c r="H19" s="46"/>
      <c r="I19" s="46"/>
      <c r="J19" s="46"/>
      <c r="K19" s="46"/>
      <c r="L19" s="46"/>
      <c r="M19" s="46"/>
      <c r="N19" s="46"/>
      <c r="O19" s="46"/>
      <c r="P19" s="46"/>
      <c r="Q19" s="46"/>
      <c r="R19" s="46"/>
      <c r="S19" s="46"/>
      <c r="T19" s="50"/>
      <c r="U19" s="50"/>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row>
    <row r="20" spans="1:63" s="42" customFormat="1" ht="30" customHeight="1" thickBot="1" x14ac:dyDescent="0.25">
      <c r="A20" s="13"/>
      <c r="B20" s="55" t="s">
        <v>26</v>
      </c>
      <c r="C20" s="56" t="s">
        <v>18</v>
      </c>
      <c r="D20" s="57">
        <v>46070</v>
      </c>
      <c r="E20" s="57">
        <v>46073</v>
      </c>
      <c r="F20" s="16"/>
      <c r="G20" s="5"/>
      <c r="H20" s="46"/>
      <c r="I20" s="46"/>
      <c r="J20" s="46"/>
      <c r="K20" s="46"/>
      <c r="L20" s="46"/>
      <c r="M20" s="46"/>
      <c r="N20" s="46"/>
      <c r="O20" s="46"/>
      <c r="P20" s="46"/>
      <c r="Q20" s="46"/>
      <c r="R20" s="46"/>
      <c r="S20" s="46"/>
      <c r="T20" s="50"/>
      <c r="U20" s="50"/>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row>
    <row r="21" spans="1:63" s="42" customFormat="1" ht="30" customHeight="1" thickBot="1" x14ac:dyDescent="0.25">
      <c r="A21" s="13"/>
      <c r="B21" s="55" t="s">
        <v>27</v>
      </c>
      <c r="C21" s="56" t="s">
        <v>13</v>
      </c>
      <c r="D21" s="57">
        <v>46070</v>
      </c>
      <c r="E21" s="57">
        <v>46073</v>
      </c>
      <c r="F21" s="16"/>
      <c r="G21" s="5"/>
      <c r="H21" s="46"/>
      <c r="I21" s="46"/>
      <c r="J21" s="46"/>
      <c r="K21" s="46"/>
      <c r="L21" s="46"/>
      <c r="M21" s="46"/>
      <c r="N21" s="46"/>
      <c r="O21" s="46"/>
      <c r="P21" s="46"/>
      <c r="Q21" s="46"/>
      <c r="R21" s="46"/>
      <c r="S21" s="46"/>
      <c r="T21" s="50"/>
      <c r="U21" s="50"/>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row>
    <row r="22" spans="1:63" s="42" customFormat="1" ht="30" customHeight="1" thickBot="1" x14ac:dyDescent="0.25">
      <c r="A22" s="13"/>
      <c r="B22" s="55" t="s">
        <v>28</v>
      </c>
      <c r="C22" s="56" t="s">
        <v>13</v>
      </c>
      <c r="D22" s="57">
        <v>46070</v>
      </c>
      <c r="E22" s="57">
        <v>46073</v>
      </c>
      <c r="F22" s="16"/>
      <c r="G22" s="5"/>
      <c r="H22" s="46"/>
      <c r="I22" s="46"/>
      <c r="J22" s="46"/>
      <c r="K22" s="46"/>
      <c r="L22" s="46"/>
      <c r="M22" s="46"/>
      <c r="N22" s="46"/>
      <c r="O22" s="46"/>
      <c r="P22" s="46"/>
      <c r="Q22" s="46"/>
      <c r="R22" s="46"/>
      <c r="S22" s="46"/>
      <c r="T22" s="50"/>
      <c r="U22" s="50"/>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row>
    <row r="23" spans="1:63" s="42" customFormat="1" ht="30" customHeight="1" thickBot="1" x14ac:dyDescent="0.25">
      <c r="A23" s="13"/>
      <c r="B23" s="55" t="s">
        <v>29</v>
      </c>
      <c r="C23" s="56" t="s">
        <v>13</v>
      </c>
      <c r="D23" s="57">
        <v>46070</v>
      </c>
      <c r="E23" s="57">
        <v>46073</v>
      </c>
      <c r="F23" s="16"/>
      <c r="G23" s="5"/>
      <c r="H23" s="46"/>
      <c r="I23" s="46"/>
      <c r="J23" s="46"/>
      <c r="K23" s="46"/>
      <c r="L23" s="46"/>
      <c r="M23" s="46"/>
      <c r="N23" s="46"/>
      <c r="O23" s="46"/>
      <c r="P23" s="46"/>
      <c r="Q23" s="46"/>
      <c r="R23" s="46"/>
      <c r="S23" s="46"/>
      <c r="T23" s="50"/>
      <c r="U23" s="50"/>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row>
    <row r="24" spans="1:63" s="42" customFormat="1" ht="30" customHeight="1" thickBot="1" x14ac:dyDescent="0.25">
      <c r="A24" s="13"/>
      <c r="B24" s="55" t="s">
        <v>30</v>
      </c>
      <c r="C24" s="56" t="s">
        <v>13</v>
      </c>
      <c r="D24" s="57">
        <v>46070</v>
      </c>
      <c r="E24" s="57">
        <f>D24+3</f>
        <v>46073</v>
      </c>
      <c r="F24" s="16"/>
      <c r="G24" s="5">
        <f t="shared" si="5"/>
        <v>4</v>
      </c>
      <c r="H24" s="46"/>
      <c r="I24" s="46"/>
      <c r="J24" s="46"/>
      <c r="K24" s="46"/>
      <c r="L24" s="46"/>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row>
    <row r="25" spans="1:63" s="42" customFormat="1" ht="30" customHeight="1" thickBot="1" x14ac:dyDescent="0.25">
      <c r="A25" s="13"/>
      <c r="B25" s="58" t="s">
        <v>31</v>
      </c>
      <c r="C25" s="59"/>
      <c r="D25" s="60"/>
      <c r="E25" s="61"/>
      <c r="F25" s="16"/>
      <c r="G25" s="5" t="str">
        <f t="shared" si="5"/>
        <v/>
      </c>
      <c r="H25" s="62"/>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row>
    <row r="26" spans="1:63" s="42" customFormat="1" ht="30" customHeight="1" thickBot="1" x14ac:dyDescent="0.25">
      <c r="A26" s="13"/>
      <c r="B26" s="63" t="s">
        <v>32</v>
      </c>
      <c r="C26" s="64" t="s">
        <v>18</v>
      </c>
      <c r="D26" s="65">
        <v>46073</v>
      </c>
      <c r="E26" s="65">
        <v>46076</v>
      </c>
      <c r="F26" s="16"/>
      <c r="G26" s="5">
        <f t="shared" si="5"/>
        <v>4</v>
      </c>
      <c r="H26" s="46"/>
      <c r="I26" s="46"/>
      <c r="J26" s="46"/>
      <c r="K26" s="46"/>
      <c r="L26" s="46"/>
      <c r="M26" s="46"/>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row>
    <row r="27" spans="1:63" s="42" customFormat="1" ht="30" customHeight="1" thickBot="1" x14ac:dyDescent="0.25">
      <c r="A27" s="13"/>
      <c r="B27" s="63" t="s">
        <v>33</v>
      </c>
      <c r="C27" s="64" t="s">
        <v>13</v>
      </c>
      <c r="D27" s="65">
        <v>46073</v>
      </c>
      <c r="E27" s="65">
        <v>46076</v>
      </c>
      <c r="F27" s="16"/>
      <c r="G27" s="5">
        <f t="shared" si="5"/>
        <v>4</v>
      </c>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row>
    <row r="28" spans="1:63" s="42" customFormat="1" ht="30" customHeight="1" thickBot="1" x14ac:dyDescent="0.25">
      <c r="A28" s="13"/>
      <c r="B28" s="63" t="s">
        <v>34</v>
      </c>
      <c r="C28" s="64" t="s">
        <v>13</v>
      </c>
      <c r="D28" s="65">
        <v>46073</v>
      </c>
      <c r="E28" s="65">
        <v>46076</v>
      </c>
      <c r="F28" s="16"/>
      <c r="G28" s="5">
        <f t="shared" si="5"/>
        <v>4</v>
      </c>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row>
    <row r="29" spans="1:63" s="42" customFormat="1" ht="30" customHeight="1" thickBot="1" x14ac:dyDescent="0.25">
      <c r="A29" s="13"/>
      <c r="B29" s="63" t="s">
        <v>35</v>
      </c>
      <c r="C29" s="64" t="s">
        <v>13</v>
      </c>
      <c r="D29" s="65">
        <v>46073</v>
      </c>
      <c r="E29" s="65">
        <v>46076</v>
      </c>
      <c r="F29" s="16"/>
      <c r="G29" s="5">
        <f t="shared" si="5"/>
        <v>4</v>
      </c>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row>
    <row r="30" spans="1:63" s="42" customFormat="1" ht="30" customHeight="1" thickBot="1" x14ac:dyDescent="0.25">
      <c r="A30" s="13"/>
      <c r="B30" s="89"/>
      <c r="C30" s="90"/>
      <c r="D30" s="91"/>
      <c r="E30" s="91"/>
      <c r="F30" s="16"/>
      <c r="G30" s="5"/>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row>
    <row r="31" spans="1:63" s="42" customFormat="1" ht="30" customHeight="1" thickBot="1" x14ac:dyDescent="0.25">
      <c r="A31" s="13"/>
      <c r="B31" s="66"/>
      <c r="C31" s="66"/>
      <c r="D31" s="66"/>
      <c r="E31" s="66"/>
      <c r="F31" s="16"/>
      <c r="G31" s="5" t="str">
        <f t="shared" si="5"/>
        <v/>
      </c>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row>
    <row r="32" spans="1:63" s="42" customFormat="1" ht="30" customHeight="1" thickBot="1" x14ac:dyDescent="0.25">
      <c r="A32" s="13"/>
      <c r="B32" s="68"/>
      <c r="C32" s="69"/>
      <c r="D32" s="70"/>
      <c r="E32" s="70"/>
      <c r="F32" s="16"/>
      <c r="G32" s="5" t="str">
        <f t="shared" si="5"/>
        <v/>
      </c>
      <c r="H32" s="46"/>
      <c r="I32" s="46"/>
      <c r="J32" s="46"/>
      <c r="K32" s="46"/>
      <c r="L32" s="46"/>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row>
    <row r="33" spans="1:63" s="42" customFormat="1" ht="30" customHeight="1" thickBot="1" x14ac:dyDescent="0.25">
      <c r="A33" s="13"/>
      <c r="B33" s="68"/>
      <c r="C33" s="69"/>
      <c r="D33" s="70"/>
      <c r="E33" s="70"/>
      <c r="F33" s="16"/>
      <c r="G33" s="5" t="str">
        <f t="shared" si="5"/>
        <v/>
      </c>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row>
    <row r="34" spans="1:63" s="42" customFormat="1" ht="30" customHeight="1" thickBot="1" x14ac:dyDescent="0.25">
      <c r="A34" s="13"/>
      <c r="B34" s="68"/>
      <c r="C34" s="69"/>
      <c r="D34" s="70"/>
      <c r="E34" s="70"/>
      <c r="F34" s="16"/>
      <c r="G34" s="5" t="str">
        <f t="shared" si="5"/>
        <v/>
      </c>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row>
    <row r="35" spans="1:63" s="42" customFormat="1" ht="30" customHeight="1" thickBot="1" x14ac:dyDescent="0.25">
      <c r="A35" s="13"/>
      <c r="B35" s="68"/>
      <c r="C35" s="69"/>
      <c r="D35" s="70"/>
      <c r="E35" s="70"/>
      <c r="F35" s="16"/>
      <c r="G35" s="5" t="str">
        <f t="shared" si="5"/>
        <v/>
      </c>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row>
    <row r="36" spans="1:63" s="42" customFormat="1" ht="30" customHeight="1" thickBot="1" x14ac:dyDescent="0.25">
      <c r="A36" s="13"/>
      <c r="B36" s="68"/>
      <c r="C36" s="69"/>
      <c r="D36" s="70"/>
      <c r="E36" s="70"/>
      <c r="F36" s="16"/>
      <c r="G36" s="5" t="str">
        <f>IF(OR(ISBLANK(task_start),ISBLANK(task_end)),"",task_end-task_start+1)</f>
        <v/>
      </c>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row>
    <row r="37" spans="1:63" s="42" customFormat="1" ht="30" customHeight="1" thickBot="1" x14ac:dyDescent="0.25">
      <c r="A37" s="13"/>
      <c r="B37" s="71"/>
      <c r="C37" s="72"/>
      <c r="D37" s="73"/>
      <c r="E37" s="73"/>
      <c r="F37" s="16"/>
      <c r="G37" s="5" t="str">
        <f t="shared" si="5"/>
        <v/>
      </c>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row>
    <row r="38" spans="1:63" s="42" customFormat="1" ht="30" customHeight="1" thickBot="1" x14ac:dyDescent="0.25">
      <c r="A38" s="92"/>
      <c r="B38" s="74" t="s">
        <v>36</v>
      </c>
      <c r="C38" s="75"/>
      <c r="D38" s="76"/>
      <c r="E38" s="77"/>
      <c r="F38" s="16"/>
      <c r="G38" s="6" t="str">
        <f t="shared" si="5"/>
        <v/>
      </c>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row>
    <row r="39" spans="1:63" ht="30" customHeight="1" x14ac:dyDescent="0.2">
      <c r="F39" s="3"/>
    </row>
    <row r="40" spans="1:63" ht="30" customHeight="1" x14ac:dyDescent="0.25">
      <c r="C40" s="15"/>
      <c r="E40" s="14"/>
    </row>
    <row r="41" spans="1:63" ht="30" customHeight="1" x14ac:dyDescent="0.2">
      <c r="C41" s="4"/>
    </row>
  </sheetData>
  <mergeCells count="17">
    <mergeCell ref="P2:Y2"/>
    <mergeCell ref="P1:Y1"/>
    <mergeCell ref="H1:N1"/>
    <mergeCell ref="H2:N2"/>
    <mergeCell ref="BE4:BK4"/>
    <mergeCell ref="H4:N4"/>
    <mergeCell ref="O4:U4"/>
    <mergeCell ref="V4:AB4"/>
    <mergeCell ref="AC4:AI4"/>
    <mergeCell ref="AJ4:AP4"/>
    <mergeCell ref="AQ4:AW4"/>
    <mergeCell ref="AX4:BD4"/>
    <mergeCell ref="A5:A6"/>
    <mergeCell ref="B5:B6"/>
    <mergeCell ref="C5:C6"/>
    <mergeCell ref="D5:D6"/>
    <mergeCell ref="E5:E6"/>
  </mergeCells>
  <conditionalFormatting sqref="H4:BK36">
    <cfRule type="expression" dxfId="8" priority="1">
      <formula>AND(TODAY()&gt;=H$5, TODAY()&lt;I$5)</formula>
    </cfRule>
  </conditionalFormatting>
  <conditionalFormatting sqref="H9:BK10">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2:BK24">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6:BK30">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32:BK36">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25" xr:uid="{956902D1-D3B5-416D-BB69-9362D193BC0A}"/>
    <dataValidation allowBlank="1" showInputMessage="1" showErrorMessage="1" prompt="Phase 4's sample block starts in cell B26." sqref="A3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7"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82" t="s">
        <v>4</v>
      </c>
      <c r="B2" s="8"/>
    </row>
    <row r="3" spans="1:2" s="11" customFormat="1" ht="27" customHeight="1" x14ac:dyDescent="0.2">
      <c r="A3" s="83"/>
      <c r="B3" s="12"/>
    </row>
    <row r="4" spans="1:2" s="10" customFormat="1" ht="31.5" x14ac:dyDescent="0.6">
      <c r="A4" s="84" t="s">
        <v>37</v>
      </c>
    </row>
    <row r="5" spans="1:2" ht="74.25" customHeight="1" x14ac:dyDescent="0.2">
      <c r="A5" s="85" t="s">
        <v>38</v>
      </c>
    </row>
    <row r="6" spans="1:2" ht="26.25" customHeight="1" x14ac:dyDescent="0.2">
      <c r="A6" s="84" t="s">
        <v>39</v>
      </c>
    </row>
    <row r="7" spans="1:2" s="7" customFormat="1" ht="205.15" customHeight="1" x14ac:dyDescent="0.2">
      <c r="A7" s="86" t="s">
        <v>40</v>
      </c>
    </row>
    <row r="8" spans="1:2" s="10" customFormat="1" ht="31.5" x14ac:dyDescent="0.6">
      <c r="A8" s="84" t="s">
        <v>41</v>
      </c>
    </row>
    <row r="9" spans="1:2" ht="57" x14ac:dyDescent="0.2">
      <c r="A9" s="85" t="s">
        <v>42</v>
      </c>
    </row>
    <row r="10" spans="1:2" s="7" customFormat="1" ht="28.15" customHeight="1" x14ac:dyDescent="0.2">
      <c r="A10" s="87" t="s">
        <v>43</v>
      </c>
    </row>
    <row r="11" spans="1:2" s="10" customFormat="1" ht="31.5" x14ac:dyDescent="0.6">
      <c r="A11" s="84" t="s">
        <v>44</v>
      </c>
    </row>
    <row r="12" spans="1:2" ht="28.5" x14ac:dyDescent="0.2">
      <c r="A12" s="85" t="s">
        <v>45</v>
      </c>
    </row>
    <row r="13" spans="1:2" s="7" customFormat="1" ht="28.15" customHeight="1" x14ac:dyDescent="0.2">
      <c r="A13" s="87" t="s">
        <v>46</v>
      </c>
    </row>
    <row r="14" spans="1:2" s="10" customFormat="1" ht="31.5" x14ac:dyDescent="0.6">
      <c r="A14" s="84" t="s">
        <v>47</v>
      </c>
    </row>
    <row r="15" spans="1:2" ht="75" customHeight="1" x14ac:dyDescent="0.2">
      <c r="A15" s="85" t="s">
        <v>48</v>
      </c>
    </row>
    <row r="16" spans="1:2" ht="71.25" x14ac:dyDescent="0.2">
      <c r="A16" s="85" t="s">
        <v>49</v>
      </c>
    </row>
    <row r="17" spans="1:1" x14ac:dyDescent="0.2">
      <c r="A17" s="88"/>
    </row>
    <row r="18" spans="1:1" x14ac:dyDescent="0.2">
      <c r="A18" s="88"/>
    </row>
    <row r="19" spans="1:1" x14ac:dyDescent="0.2">
      <c r="A19" s="88"/>
    </row>
    <row r="20" spans="1:1" x14ac:dyDescent="0.2">
      <c r="A20" s="88"/>
    </row>
    <row r="21" spans="1:1" x14ac:dyDescent="0.2">
      <c r="A21" s="88"/>
    </row>
    <row r="22" spans="1:1" x14ac:dyDescent="0.2">
      <c r="A22" s="88"/>
    </row>
    <row r="23" spans="1:1" x14ac:dyDescent="0.2">
      <c r="A23" s="88"/>
    </row>
    <row r="24" spans="1:1" x14ac:dyDescent="0.2">
      <c r="A24" s="88"/>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Project schedule</vt:lpstr>
      <vt:lpstr>About</vt:lpstr>
      <vt:lpstr>Display_Week</vt:lpstr>
      <vt:lpstr>'Project schedule'!Print_Titles</vt:lpstr>
      <vt:lpstr>Project_Start</vt:lpstr>
      <vt:lpstr>'Project schedule'!task_end</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Ames</dc:creator>
  <cp:keywords/>
  <dc:description/>
  <cp:lastModifiedBy>Logan Baardson</cp:lastModifiedBy>
  <cp:revision/>
  <dcterms:created xsi:type="dcterms:W3CDTF">2022-03-11T22:41:12Z</dcterms:created>
  <dcterms:modified xsi:type="dcterms:W3CDTF">2026-02-22T22:57:42Z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